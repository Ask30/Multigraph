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omments4.xml" ContentType="application/vnd.openxmlformats-officedocument.spreadsheetml.comments+xml"/>
  <Override PartName="/xl/drawings/drawing6.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195" yWindow="60" windowWidth="24240" windowHeight="13740" tabRatio="870" firstSheet="39" activeTab="57"/>
  </bookViews>
  <sheets>
    <sheet name="Control" sheetId="1" r:id="rId1"/>
    <sheet name="Plot Layout" sheetId="160" r:id="rId2"/>
    <sheet name="Multiple Plots" sheetId="490" r:id="rId3"/>
    <sheet name="User Curves" sheetId="654" r:id="rId4"/>
    <sheet name="Equation Storage" sheetId="491" r:id="rId5"/>
    <sheet name="Color Selection" sheetId="161" r:id="rId6"/>
    <sheet name="Modification History" sheetId="379" r:id="rId7"/>
    <sheet name="Data 1" sheetId="2933" r:id="rId8"/>
    <sheet name="Data 2" sheetId="2934" r:id="rId9"/>
    <sheet name="Data 3" sheetId="2935" r:id="rId10"/>
    <sheet name="Data 4" sheetId="2936" r:id="rId11"/>
    <sheet name="Data 5" sheetId="2937" r:id="rId12"/>
    <sheet name="Data 6" sheetId="2938" r:id="rId13"/>
    <sheet name="Data 7" sheetId="2939" r:id="rId14"/>
    <sheet name="Data 8" sheetId="2940" r:id="rId15"/>
    <sheet name="Data 9" sheetId="2941" r:id="rId16"/>
    <sheet name="Data 10" sheetId="2942" r:id="rId17"/>
    <sheet name="Data 11" sheetId="2943" r:id="rId18"/>
    <sheet name="Data 12" sheetId="2944" r:id="rId19"/>
    <sheet name="Data 13" sheetId="2945" r:id="rId20"/>
    <sheet name="Data 14" sheetId="2946" r:id="rId21"/>
    <sheet name="Data 15" sheetId="2947" r:id="rId22"/>
    <sheet name="Data 16" sheetId="2948" r:id="rId23"/>
    <sheet name="Data 17" sheetId="2949" r:id="rId24"/>
    <sheet name="Data 18" sheetId="2950" r:id="rId25"/>
    <sheet name="Data 19" sheetId="2851" r:id="rId26"/>
    <sheet name="Data 20" sheetId="2250" r:id="rId27"/>
    <sheet name="Data 21" sheetId="2251" r:id="rId28"/>
    <sheet name="Data 22" sheetId="2252" r:id="rId29"/>
    <sheet name="Data 23" sheetId="2253" r:id="rId30"/>
    <sheet name="Data 24" sheetId="2254" r:id="rId31"/>
    <sheet name="Data 25" sheetId="2255" r:id="rId32"/>
    <sheet name="Data 26" sheetId="2256" r:id="rId33"/>
    <sheet name="Data 27" sheetId="2257" r:id="rId34"/>
    <sheet name="Data 28" sheetId="2258" r:id="rId35"/>
    <sheet name="Data 29" sheetId="2259" r:id="rId36"/>
    <sheet name="Data 30" sheetId="2260" r:id="rId37"/>
    <sheet name="Data 31" sheetId="390" r:id="rId38"/>
    <sheet name="Data 32" sheetId="391" r:id="rId39"/>
    <sheet name="Data 33" sheetId="392" r:id="rId40"/>
    <sheet name="Data 34" sheetId="393" r:id="rId41"/>
    <sheet name="Data 35" sheetId="394" r:id="rId42"/>
    <sheet name="Data 36" sheetId="395" r:id="rId43"/>
    <sheet name="Data 37" sheetId="396" r:id="rId44"/>
    <sheet name="Data 38" sheetId="397" r:id="rId45"/>
    <sheet name="Data 39" sheetId="398" r:id="rId46"/>
    <sheet name="Data 40" sheetId="399" r:id="rId47"/>
    <sheet name="Data 41" sheetId="400" r:id="rId48"/>
    <sheet name="Data 42" sheetId="401" r:id="rId49"/>
    <sheet name="Data 43" sheetId="402" r:id="rId50"/>
    <sheet name="Data 44" sheetId="403" r:id="rId51"/>
    <sheet name="Data 45" sheetId="404" r:id="rId52"/>
    <sheet name="Data 46" sheetId="405" r:id="rId53"/>
    <sheet name="Data 47" sheetId="406" r:id="rId54"/>
    <sheet name="Data 48" sheetId="407" r:id="rId55"/>
    <sheet name="Data 49" sheetId="408" r:id="rId56"/>
    <sheet name="Data 50" sheetId="409" r:id="rId57"/>
    <sheet name="Cross Plot" sheetId="2966" r:id="rId58"/>
  </sheets>
  <functionGroups builtInGroupCount="17"/>
  <calcPr calcId="145621" concurrentCalc="0"/>
  <fileRecoveryPr repairLoad="1"/>
</workbook>
</file>

<file path=xl/calcChain.xml><?xml version="1.0" encoding="utf-8"?>
<calcChain xmlns="http://schemas.openxmlformats.org/spreadsheetml/2006/main">
  <c r="H10" i="160" l="1"/>
  <c r="G10" i="160"/>
  <c r="F10" i="160"/>
  <c r="E10" i="160"/>
  <c r="D10" i="160"/>
  <c r="C10" i="160"/>
  <c r="B10" i="160"/>
  <c r="ER2" i="491"/>
  <c r="EQ2" i="491"/>
  <c r="EO2" i="491"/>
  <c r="EN2" i="491"/>
  <c r="EM2" i="491"/>
  <c r="EL2" i="491"/>
  <c r="EK2" i="491"/>
  <c r="EJ2" i="491"/>
  <c r="EH2" i="491"/>
  <c r="EF2" i="491"/>
  <c r="EE2" i="491"/>
  <c r="ED2" i="491"/>
  <c r="EC2" i="491"/>
  <c r="EB2" i="491"/>
  <c r="EA2" i="491"/>
  <c r="DY2" i="491"/>
  <c r="DX2" i="491"/>
  <c r="DW2" i="491"/>
  <c r="DU2" i="491"/>
  <c r="DS2" i="491"/>
  <c r="DQ2" i="491"/>
  <c r="DP2" i="491"/>
  <c r="DO2" i="491"/>
  <c r="DN2" i="491"/>
  <c r="DM2" i="491"/>
  <c r="DL2" i="491"/>
  <c r="DJ2" i="491"/>
  <c r="DI2" i="491"/>
  <c r="DH2" i="491"/>
  <c r="DF2" i="491"/>
  <c r="DE2" i="491"/>
  <c r="DD2" i="491"/>
  <c r="DC2" i="491"/>
  <c r="DB2" i="491"/>
  <c r="DA2" i="491"/>
  <c r="CY2" i="491"/>
  <c r="CW2" i="491"/>
  <c r="CU2" i="491"/>
  <c r="CT2" i="491"/>
  <c r="CR2" i="491"/>
  <c r="CQ2" i="491"/>
  <c r="CP2" i="491"/>
  <c r="CO2" i="491"/>
  <c r="CN2" i="491"/>
  <c r="CL2" i="491"/>
  <c r="CK2" i="491"/>
  <c r="CJ2" i="491"/>
  <c r="CI2" i="491"/>
  <c r="CG2" i="491"/>
  <c r="CF2" i="491"/>
  <c r="CE2" i="491"/>
  <c r="CD2" i="491"/>
  <c r="CC2" i="491"/>
  <c r="CB2" i="491"/>
  <c r="BZ2" i="491"/>
  <c r="BX2" i="491"/>
  <c r="BV2" i="491"/>
  <c r="BU2" i="491"/>
  <c r="BS2" i="491"/>
  <c r="BR2" i="491"/>
  <c r="BP2" i="491"/>
  <c r="BO2" i="491"/>
  <c r="BM2" i="491"/>
  <c r="BL2" i="491"/>
  <c r="BJ2" i="491"/>
  <c r="BI2" i="491"/>
  <c r="BG2" i="491"/>
  <c r="BF2" i="491"/>
  <c r="BE2" i="491"/>
  <c r="BD2" i="491"/>
  <c r="BB2" i="491"/>
  <c r="BA2" i="491"/>
  <c r="AZ2" i="491"/>
  <c r="AY2" i="491"/>
  <c r="AW2" i="491"/>
  <c r="AV2" i="491"/>
  <c r="AU2" i="491"/>
  <c r="AT2" i="491"/>
  <c r="AS2" i="491"/>
  <c r="AR2" i="491"/>
  <c r="AQ2" i="491"/>
  <c r="AP2" i="491"/>
  <c r="AO2" i="491"/>
  <c r="AM2" i="491"/>
  <c r="AL2" i="491"/>
  <c r="AK2" i="491"/>
  <c r="AJ2" i="491"/>
  <c r="AH2" i="491"/>
  <c r="AG2" i="491"/>
  <c r="AF2" i="491"/>
  <c r="AE2" i="491"/>
  <c r="AD2" i="491"/>
  <c r="AC2" i="491"/>
  <c r="AA2" i="491"/>
  <c r="Z2" i="491"/>
  <c r="Y2" i="491"/>
  <c r="X2" i="491"/>
  <c r="W2" i="491"/>
  <c r="V2" i="491"/>
  <c r="T2" i="491"/>
  <c r="S2" i="491"/>
  <c r="AD55" i="654"/>
  <c r="AD54" i="654"/>
  <c r="BZ14" i="654"/>
  <c r="AD14" i="654"/>
  <c r="BZ13" i="654"/>
  <c r="AD13" i="654"/>
  <c r="BZ12" i="654"/>
  <c r="AD12" i="654"/>
  <c r="BZ11" i="654"/>
  <c r="AD11" i="654"/>
  <c r="BZ10" i="654"/>
  <c r="AD10" i="654"/>
  <c r="EF9" i="654"/>
  <c r="BZ9" i="654"/>
  <c r="AD9" i="654"/>
  <c r="EF8" i="654"/>
  <c r="BZ8" i="654"/>
  <c r="AD8" i="654"/>
  <c r="EF7" i="654"/>
  <c r="BZ7" i="654"/>
  <c r="AY7" i="654"/>
  <c r="AD7" i="654"/>
  <c r="EF6" i="654"/>
  <c r="BZ6" i="654"/>
  <c r="AD6" i="654"/>
  <c r="EF5" i="654"/>
  <c r="BZ5" i="654"/>
  <c r="AD5" i="654"/>
  <c r="EF4" i="654"/>
  <c r="BZ4" i="654"/>
  <c r="AD4" i="654"/>
  <c r="EF3" i="654"/>
  <c r="BZ3" i="654"/>
  <c r="AD3" i="654"/>
  <c r="EF2" i="654"/>
  <c r="BZ2" i="654"/>
  <c r="AD2" i="654"/>
  <c r="BE47" i="160"/>
  <c r="IV1" i="654"/>
  <c r="BD47" i="160"/>
  <c r="IU1" i="654"/>
  <c r="BC47" i="160"/>
  <c r="IT1" i="654"/>
  <c r="BB47" i="160"/>
  <c r="IS1" i="654"/>
  <c r="BA47" i="160"/>
  <c r="IR1" i="654"/>
  <c r="AZ47" i="160"/>
  <c r="IQ1" i="654"/>
  <c r="AY47" i="160"/>
  <c r="IP1" i="654"/>
  <c r="AX47" i="160"/>
  <c r="IO1" i="654"/>
  <c r="AW47" i="160"/>
  <c r="IN1" i="654"/>
  <c r="AV47" i="160"/>
  <c r="IM1" i="654"/>
  <c r="AU47" i="160"/>
  <c r="IL1" i="654"/>
  <c r="AT47" i="160"/>
  <c r="IK1" i="654"/>
  <c r="AS47" i="160"/>
  <c r="IJ1" i="654"/>
  <c r="AR47" i="160"/>
  <c r="II1" i="654"/>
  <c r="AQ47" i="160"/>
  <c r="IH1" i="654"/>
  <c r="AP47" i="160"/>
  <c r="IG1" i="654"/>
  <c r="AO47" i="160"/>
  <c r="IF1" i="654"/>
  <c r="AN47" i="160"/>
  <c r="IE1" i="654"/>
  <c r="AM47" i="160"/>
  <c r="ID1" i="654"/>
  <c r="AL47" i="160"/>
  <c r="IC1" i="654"/>
  <c r="AK47" i="160"/>
  <c r="IB1" i="654"/>
  <c r="AJ47" i="160"/>
  <c r="IA1" i="654"/>
  <c r="AI47" i="160"/>
  <c r="HZ1" i="654"/>
  <c r="AH47" i="160"/>
  <c r="HY1" i="654"/>
  <c r="AG47" i="160"/>
  <c r="HX1" i="654"/>
  <c r="AF47" i="160"/>
  <c r="HW1" i="654"/>
  <c r="AE47" i="160"/>
  <c r="HV1" i="654"/>
  <c r="AD47" i="160"/>
  <c r="HU1" i="654"/>
  <c r="AC47" i="160"/>
  <c r="HT1" i="654"/>
  <c r="AB47" i="160"/>
  <c r="HS1" i="654"/>
  <c r="AA47" i="160"/>
  <c r="HR1" i="654"/>
  <c r="Z47" i="160"/>
  <c r="HQ1" i="654"/>
  <c r="Y47" i="160"/>
  <c r="HP1" i="654"/>
  <c r="X47" i="160"/>
  <c r="HO1" i="654"/>
  <c r="W47" i="160"/>
  <c r="HN1" i="654"/>
  <c r="V47" i="160"/>
  <c r="HM1" i="654"/>
  <c r="U47" i="160"/>
  <c r="HL1" i="654"/>
  <c r="T47" i="160"/>
  <c r="HK1" i="654"/>
  <c r="S47" i="160"/>
  <c r="HJ1" i="654"/>
  <c r="R47" i="160"/>
  <c r="HI1" i="654"/>
  <c r="Q47" i="160"/>
  <c r="HH1" i="654"/>
  <c r="P47" i="160"/>
  <c r="HG1" i="654"/>
  <c r="O47" i="160"/>
  <c r="HF1" i="654"/>
  <c r="N47" i="160"/>
  <c r="HE1" i="654"/>
  <c r="M47" i="160"/>
  <c r="HD1" i="654"/>
  <c r="L47" i="160"/>
  <c r="HC1" i="654"/>
  <c r="K47" i="160"/>
  <c r="HB1" i="654"/>
  <c r="J47" i="160"/>
  <c r="HA1" i="654"/>
  <c r="I47" i="160"/>
  <c r="GZ1" i="654"/>
  <c r="H47" i="160"/>
  <c r="GY1" i="654"/>
  <c r="G47" i="160"/>
  <c r="GX1" i="654"/>
  <c r="F47" i="160"/>
  <c r="GW1" i="654"/>
  <c r="E47" i="160"/>
  <c r="GV1" i="654"/>
  <c r="D47" i="160"/>
  <c r="GU1" i="654"/>
  <c r="C47" i="160"/>
  <c r="GT1" i="654"/>
  <c r="B47" i="160"/>
  <c r="GS1" i="654"/>
  <c r="CW38" i="160"/>
  <c r="GR1" i="654"/>
  <c r="CV38" i="160"/>
  <c r="GQ1" i="654"/>
  <c r="CU38" i="160"/>
  <c r="GP1" i="654"/>
  <c r="CT38" i="160"/>
  <c r="GO1" i="654"/>
  <c r="CS38" i="160"/>
  <c r="GN1" i="654"/>
  <c r="CR38" i="160"/>
  <c r="GM1" i="654"/>
  <c r="CQ38" i="160"/>
  <c r="GL1" i="654"/>
  <c r="CP38" i="160"/>
  <c r="GK1" i="654"/>
  <c r="CO38" i="160"/>
  <c r="GJ1" i="654"/>
  <c r="CN38" i="160"/>
  <c r="GI1" i="654"/>
  <c r="CM38" i="160"/>
  <c r="GH1" i="654"/>
  <c r="CL38" i="160"/>
  <c r="GG1" i="654"/>
  <c r="CK38" i="160"/>
  <c r="GF1" i="654"/>
  <c r="CJ38" i="160"/>
  <c r="GE1" i="654"/>
  <c r="CI38" i="160"/>
  <c r="GD1" i="654"/>
  <c r="CH38" i="160"/>
  <c r="GC1" i="654"/>
  <c r="CG38" i="160"/>
  <c r="GB1" i="654"/>
  <c r="CF38" i="160"/>
  <c r="GA1" i="654"/>
  <c r="CE38" i="160"/>
  <c r="FZ1" i="654"/>
  <c r="CD38" i="160"/>
  <c r="FY1" i="654"/>
  <c r="CC38" i="160"/>
  <c r="FX1" i="654"/>
  <c r="CB38" i="160"/>
  <c r="FW1" i="654"/>
  <c r="CA38" i="160"/>
  <c r="FV1" i="654"/>
  <c r="BZ38" i="160"/>
  <c r="FU1" i="654"/>
  <c r="BY38" i="160"/>
  <c r="FT1" i="654"/>
  <c r="BX38" i="160"/>
  <c r="FS1" i="654"/>
  <c r="BW38" i="160"/>
  <c r="FR1" i="654"/>
  <c r="BV38" i="160"/>
  <c r="FQ1" i="654"/>
  <c r="BU38" i="160"/>
  <c r="FP1" i="654"/>
  <c r="BT38" i="160"/>
  <c r="FO1" i="654"/>
  <c r="BS38" i="160"/>
  <c r="FN1" i="654"/>
  <c r="BR38" i="160"/>
  <c r="FM1" i="654"/>
  <c r="BQ38" i="160"/>
  <c r="FL1" i="654"/>
  <c r="BP38" i="160"/>
  <c r="FK1" i="654"/>
  <c r="BO38" i="160"/>
  <c r="FJ1" i="654"/>
  <c r="BN38" i="160"/>
  <c r="FI1" i="654"/>
  <c r="BM38" i="160"/>
  <c r="FH1" i="654"/>
  <c r="BL38" i="160"/>
  <c r="FG1" i="654"/>
  <c r="BK38" i="160"/>
  <c r="FF1" i="654"/>
  <c r="BJ38" i="160"/>
  <c r="FE1" i="654"/>
  <c r="BI38" i="160"/>
  <c r="FD1" i="654"/>
  <c r="BH38" i="160"/>
  <c r="FC1" i="654"/>
  <c r="BG38" i="160"/>
  <c r="FB1" i="654"/>
  <c r="BF38" i="160"/>
  <c r="FA1" i="654"/>
  <c r="BE38" i="160"/>
  <c r="EZ1" i="654"/>
  <c r="BD38" i="160"/>
  <c r="EY1" i="654"/>
  <c r="BC38" i="160"/>
  <c r="EX1" i="654"/>
  <c r="BB38" i="160"/>
  <c r="EW1" i="654"/>
  <c r="BA38" i="160"/>
  <c r="EV1" i="654"/>
  <c r="AZ38" i="160"/>
  <c r="EU1" i="654"/>
  <c r="AY38" i="160"/>
  <c r="ET1" i="654"/>
  <c r="AX38" i="160"/>
  <c r="ES1" i="654"/>
  <c r="AW38" i="160"/>
  <c r="ER1" i="654"/>
  <c r="AV38" i="160"/>
  <c r="EQ1" i="654"/>
  <c r="AU38" i="160"/>
  <c r="EP1" i="654"/>
  <c r="AT38" i="160"/>
  <c r="EO1" i="654"/>
  <c r="AS38" i="160"/>
  <c r="EN1" i="654"/>
  <c r="AR38" i="160"/>
  <c r="EM1" i="654"/>
  <c r="AQ38" i="160"/>
  <c r="EL1" i="654"/>
  <c r="AP38" i="160"/>
  <c r="EK1" i="654"/>
  <c r="AO38" i="160"/>
  <c r="EJ1" i="654"/>
  <c r="AN38" i="160"/>
  <c r="EI1" i="654"/>
  <c r="AM38" i="160"/>
  <c r="EH1" i="654"/>
  <c r="AL38" i="160"/>
  <c r="EG1" i="654"/>
  <c r="AK38" i="160"/>
  <c r="EF1" i="654"/>
  <c r="AJ38" i="160"/>
  <c r="EE1" i="654"/>
  <c r="AI38" i="160"/>
  <c r="ED1" i="654"/>
  <c r="AH38" i="160"/>
  <c r="EC1" i="654"/>
  <c r="AG38" i="160"/>
  <c r="EB1" i="654"/>
  <c r="AF38" i="160"/>
  <c r="EA1" i="654"/>
  <c r="AE38" i="160"/>
  <c r="DZ1" i="654"/>
  <c r="AD38" i="160"/>
  <c r="DY1" i="654"/>
  <c r="AC38" i="160"/>
  <c r="DX1" i="654"/>
  <c r="AB38" i="160"/>
  <c r="DW1" i="654"/>
  <c r="AA38" i="160"/>
  <c r="DV1" i="654"/>
  <c r="Z38" i="160"/>
  <c r="DU1" i="654"/>
  <c r="Y38" i="160"/>
  <c r="DT1" i="654"/>
  <c r="X38" i="160"/>
  <c r="DS1" i="654"/>
  <c r="W38" i="160"/>
  <c r="DR1" i="654"/>
  <c r="V38" i="160"/>
  <c r="DQ1" i="654"/>
  <c r="U38" i="160"/>
  <c r="DP1" i="654"/>
  <c r="T38" i="160"/>
  <c r="DO1" i="654"/>
  <c r="S38" i="160"/>
  <c r="DN1" i="654"/>
  <c r="R38" i="160"/>
  <c r="DM1" i="654"/>
  <c r="Q38" i="160"/>
  <c r="DL1" i="654"/>
  <c r="P38" i="160"/>
  <c r="DK1" i="654"/>
  <c r="O38" i="160"/>
  <c r="DJ1" i="654"/>
  <c r="N38" i="160"/>
  <c r="DI1" i="654"/>
  <c r="M38" i="160"/>
  <c r="DH1" i="654"/>
  <c r="L38" i="160"/>
  <c r="DG1" i="654"/>
  <c r="K38" i="160"/>
  <c r="DF1" i="654"/>
  <c r="J38" i="160"/>
  <c r="DE1" i="654"/>
  <c r="I38" i="160"/>
  <c r="DD1" i="654"/>
  <c r="H38" i="160"/>
  <c r="DC1" i="654"/>
  <c r="G38" i="160"/>
  <c r="DB1" i="654"/>
  <c r="F38" i="160"/>
  <c r="DA1" i="654"/>
  <c r="E38" i="160"/>
  <c r="CZ1" i="654"/>
  <c r="D38" i="160"/>
  <c r="CY1" i="654"/>
  <c r="C38" i="160"/>
  <c r="CX1" i="654"/>
  <c r="B38" i="160"/>
  <c r="CW1" i="654"/>
  <c r="CW29" i="160"/>
  <c r="CV1" i="654"/>
  <c r="CV29" i="160"/>
  <c r="CU1" i="654"/>
  <c r="CU29" i="160"/>
  <c r="CT1" i="654"/>
  <c r="CT29" i="160"/>
  <c r="CS1" i="654"/>
  <c r="CS29" i="160"/>
  <c r="CR1" i="654"/>
  <c r="CR29" i="160"/>
  <c r="CQ1" i="654"/>
  <c r="CQ29" i="160"/>
  <c r="CP1" i="654"/>
  <c r="CP29" i="160"/>
  <c r="CO1" i="654"/>
  <c r="CO29" i="160"/>
  <c r="CN1" i="654"/>
  <c r="CN29" i="160"/>
  <c r="CM1" i="654"/>
  <c r="CM29" i="160"/>
  <c r="CL1" i="654"/>
  <c r="CL29" i="160"/>
  <c r="CK1" i="654"/>
  <c r="CK29" i="160"/>
  <c r="CJ1" i="654"/>
  <c r="CJ29" i="160"/>
  <c r="CI1" i="654"/>
  <c r="CI29" i="160"/>
  <c r="CH1" i="654"/>
  <c r="CH29" i="160"/>
  <c r="CG1" i="654"/>
  <c r="CG29" i="160"/>
  <c r="CF1" i="654"/>
  <c r="CF29" i="160"/>
  <c r="CE1" i="654"/>
  <c r="CE29" i="160"/>
  <c r="CD1" i="654"/>
  <c r="CD29" i="160"/>
  <c r="CC1" i="654"/>
  <c r="CC29" i="160"/>
  <c r="CB1" i="654"/>
  <c r="CB29" i="160"/>
  <c r="CA1" i="654"/>
  <c r="CA29" i="160"/>
  <c r="BZ1" i="654"/>
  <c r="BZ29" i="160"/>
  <c r="BY1" i="654"/>
  <c r="BY29" i="160"/>
  <c r="BX1" i="654"/>
  <c r="BX29" i="160"/>
  <c r="BW1" i="654"/>
  <c r="BW29" i="160"/>
  <c r="BV1" i="654"/>
  <c r="BV29" i="160"/>
  <c r="BU1" i="654"/>
  <c r="BU29" i="160"/>
  <c r="BT1" i="654"/>
  <c r="BT29" i="160"/>
  <c r="BS1" i="654"/>
  <c r="BS29" i="160"/>
  <c r="BR1" i="654"/>
  <c r="BR29" i="160"/>
  <c r="BQ1" i="654"/>
  <c r="BQ29" i="160"/>
  <c r="BP1" i="654"/>
  <c r="BP29" i="160"/>
  <c r="BO1" i="654"/>
  <c r="BO29" i="160"/>
  <c r="BN1" i="654"/>
  <c r="BN29" i="160"/>
  <c r="BM1" i="654"/>
  <c r="BM29" i="160"/>
  <c r="BL1" i="654"/>
  <c r="BL29" i="160"/>
  <c r="BK1" i="654"/>
  <c r="BK29" i="160"/>
  <c r="BJ1" i="654"/>
  <c r="BJ29" i="160"/>
  <c r="BI1" i="654"/>
  <c r="BI29" i="160"/>
  <c r="BH1" i="654"/>
  <c r="BH29" i="160"/>
  <c r="BG1" i="654"/>
  <c r="BG29" i="160"/>
  <c r="BF1" i="654"/>
  <c r="BF29" i="160"/>
  <c r="BE1" i="654"/>
  <c r="BE29" i="160"/>
  <c r="BD1" i="654"/>
  <c r="BD29" i="160"/>
  <c r="BC1" i="654"/>
  <c r="BC29" i="160"/>
  <c r="BB1" i="654"/>
  <c r="BB29" i="160"/>
  <c r="BA1" i="654"/>
  <c r="BA29" i="160"/>
  <c r="AZ1" i="654"/>
  <c r="AZ29" i="160"/>
  <c r="AY1" i="654"/>
  <c r="AY29" i="160"/>
  <c r="AX1" i="654"/>
  <c r="AX29" i="160"/>
  <c r="AW1" i="654"/>
  <c r="AW29" i="160"/>
  <c r="AV1" i="654"/>
  <c r="AV29" i="160"/>
  <c r="AU1" i="654"/>
  <c r="AU29" i="160"/>
  <c r="AT1" i="654"/>
  <c r="AT29" i="160"/>
  <c r="AS1" i="654"/>
  <c r="AS29" i="160"/>
  <c r="AR1" i="654"/>
  <c r="AR29" i="160"/>
  <c r="AQ1" i="654"/>
  <c r="AQ29" i="160"/>
  <c r="AP1" i="654"/>
  <c r="AP29" i="160"/>
  <c r="AO1" i="654"/>
  <c r="AO29" i="160"/>
  <c r="AN1" i="654"/>
  <c r="AN29" i="160"/>
  <c r="AM1" i="654"/>
  <c r="AM29" i="160"/>
  <c r="AL1" i="654"/>
  <c r="AL29" i="160"/>
  <c r="AK1" i="654"/>
  <c r="AK29" i="160"/>
  <c r="AJ1" i="654"/>
  <c r="AJ29" i="160"/>
  <c r="AI1" i="654"/>
  <c r="AI29" i="160"/>
  <c r="AH1" i="654"/>
  <c r="AH29" i="160"/>
  <c r="AG1" i="654"/>
  <c r="AG29" i="160"/>
  <c r="AF1" i="654"/>
  <c r="AF29" i="160"/>
  <c r="AE1" i="654"/>
  <c r="AE29" i="160"/>
  <c r="AD1" i="654"/>
  <c r="AD29" i="160"/>
  <c r="AC1" i="654"/>
  <c r="AC29" i="160"/>
  <c r="AB1" i="654"/>
  <c r="AB29" i="160"/>
  <c r="AA1" i="654"/>
  <c r="AA29" i="160"/>
  <c r="Z1" i="654"/>
  <c r="Z29" i="160"/>
  <c r="Y1" i="654"/>
  <c r="Y29" i="160"/>
  <c r="X1" i="654"/>
  <c r="X29" i="160"/>
  <c r="W1" i="654"/>
  <c r="W29" i="160"/>
  <c r="V1" i="654"/>
  <c r="V29" i="160"/>
  <c r="U1" i="654"/>
  <c r="U29" i="160"/>
  <c r="T1" i="654"/>
  <c r="T29" i="160"/>
  <c r="S1" i="654"/>
  <c r="S29" i="160"/>
  <c r="R1" i="654"/>
  <c r="R29" i="160"/>
  <c r="Q1" i="654"/>
  <c r="Q29" i="160"/>
  <c r="P1" i="654"/>
  <c r="P29" i="160"/>
  <c r="O1" i="654"/>
  <c r="O29" i="160"/>
  <c r="N1" i="654"/>
  <c r="N29" i="160"/>
  <c r="M1" i="654"/>
  <c r="M29" i="160"/>
  <c r="L1" i="654"/>
  <c r="L29" i="160"/>
  <c r="K1" i="654"/>
  <c r="K29" i="160"/>
  <c r="J1" i="654"/>
  <c r="J29" i="160"/>
  <c r="I1" i="654"/>
  <c r="I29" i="160"/>
  <c r="H1" i="654"/>
  <c r="H29" i="160"/>
  <c r="G1" i="654"/>
  <c r="G29" i="160"/>
  <c r="F1" i="654"/>
  <c r="F29" i="160"/>
  <c r="E1" i="654"/>
  <c r="E29" i="160"/>
  <c r="D1" i="654"/>
  <c r="D29" i="160"/>
  <c r="C1" i="654"/>
  <c r="C29" i="160"/>
  <c r="B1" i="654"/>
  <c r="B29" i="160"/>
  <c r="A1" i="654"/>
  <c r="BE53" i="160"/>
  <c r="BD53" i="160"/>
  <c r="BC53" i="160"/>
  <c r="BB53" i="160"/>
  <c r="BA53" i="160"/>
  <c r="AZ53" i="160"/>
  <c r="AY53" i="160"/>
  <c r="AX53" i="160"/>
  <c r="AW53" i="160"/>
  <c r="AV53" i="160"/>
  <c r="AU53" i="160"/>
  <c r="AT53" i="160"/>
  <c r="AS53" i="160"/>
  <c r="AR53" i="160"/>
  <c r="AQ53" i="160"/>
  <c r="AP53" i="160"/>
  <c r="AO53" i="160"/>
  <c r="AN53" i="160"/>
  <c r="AM53" i="160"/>
  <c r="AL53" i="160"/>
  <c r="AK53" i="160"/>
  <c r="AJ53" i="160"/>
  <c r="AI53" i="160"/>
  <c r="AH53" i="160"/>
  <c r="AG53" i="160"/>
  <c r="AF53" i="160"/>
  <c r="AE53" i="160"/>
  <c r="AD53" i="160"/>
  <c r="AC53" i="160"/>
  <c r="AB53" i="160"/>
  <c r="AA53" i="160"/>
  <c r="Z53" i="160"/>
  <c r="Y53" i="160"/>
  <c r="X53" i="160"/>
  <c r="W53" i="160"/>
  <c r="V53" i="160"/>
  <c r="U53" i="160"/>
  <c r="T53" i="160"/>
  <c r="S53" i="160"/>
  <c r="R53" i="160"/>
  <c r="Q53" i="160"/>
  <c r="P53" i="160"/>
  <c r="O53" i="160"/>
  <c r="N53" i="160"/>
  <c r="M53" i="160"/>
  <c r="L53" i="160"/>
  <c r="K53" i="160"/>
  <c r="J53" i="160"/>
  <c r="I53" i="160"/>
  <c r="H53" i="160"/>
  <c r="G53" i="160"/>
  <c r="F53" i="160"/>
  <c r="E53" i="160"/>
  <c r="D53" i="160"/>
  <c r="C53" i="160"/>
  <c r="B53" i="160"/>
  <c r="BE52" i="160"/>
  <c r="BD52" i="160"/>
  <c r="BC52" i="160"/>
  <c r="BB52" i="160"/>
  <c r="BA52" i="160"/>
  <c r="AZ52" i="160"/>
  <c r="AY52" i="160"/>
  <c r="AX52" i="160"/>
  <c r="AW52" i="160"/>
  <c r="AV52" i="160"/>
  <c r="AU52" i="160"/>
  <c r="AT52" i="160"/>
  <c r="AS52" i="160"/>
  <c r="AR52" i="160"/>
  <c r="AQ52" i="160"/>
  <c r="AP52" i="160"/>
  <c r="AO52" i="160"/>
  <c r="AN52" i="160"/>
  <c r="AM52" i="160"/>
  <c r="AL52" i="160"/>
  <c r="AK52" i="160"/>
  <c r="AJ52" i="160"/>
  <c r="AI52" i="160"/>
  <c r="AH52" i="160"/>
  <c r="AG52" i="160"/>
  <c r="AF52" i="160"/>
  <c r="AE52" i="160"/>
  <c r="AD52" i="160"/>
  <c r="AC52" i="160"/>
  <c r="AB52" i="160"/>
  <c r="AA52" i="160"/>
  <c r="Z52" i="160"/>
  <c r="Y52" i="160"/>
  <c r="X52" i="160"/>
  <c r="W52" i="160"/>
  <c r="V52" i="160"/>
  <c r="U52" i="160"/>
  <c r="T52" i="160"/>
  <c r="S52" i="160"/>
  <c r="R52" i="160"/>
  <c r="Q52" i="160"/>
  <c r="P52" i="160"/>
  <c r="O52" i="160"/>
  <c r="N52" i="160"/>
  <c r="M52" i="160"/>
  <c r="L52" i="160"/>
  <c r="K52" i="160"/>
  <c r="J52" i="160"/>
  <c r="I52" i="160"/>
  <c r="H52" i="160"/>
  <c r="G52" i="160"/>
  <c r="F52" i="160"/>
  <c r="E52" i="160"/>
  <c r="D52" i="160"/>
  <c r="C52" i="160"/>
  <c r="B52" i="160"/>
  <c r="BE49" i="160"/>
  <c r="BD49" i="160"/>
  <c r="BC49" i="160"/>
  <c r="BB49" i="160"/>
  <c r="BA49" i="160"/>
  <c r="AZ49" i="160"/>
  <c r="AY49" i="160"/>
  <c r="AX49" i="160"/>
  <c r="AW49" i="160"/>
  <c r="AV49" i="160"/>
  <c r="AU49" i="160"/>
  <c r="AT49" i="160"/>
  <c r="AS49" i="160"/>
  <c r="AR49" i="160"/>
  <c r="AQ49" i="160"/>
  <c r="AP49" i="160"/>
  <c r="AO49" i="160"/>
  <c r="AN49" i="160"/>
  <c r="AM49" i="160"/>
  <c r="AL49" i="160"/>
  <c r="AK49" i="160"/>
  <c r="AJ49" i="160"/>
  <c r="AI49" i="160"/>
  <c r="AH49" i="160"/>
  <c r="AG49" i="160"/>
  <c r="AF49" i="160"/>
  <c r="AE49" i="160"/>
  <c r="AD49" i="160"/>
  <c r="AC49" i="160"/>
  <c r="AB49" i="160"/>
  <c r="AA49" i="160"/>
  <c r="Z49" i="160"/>
  <c r="Y49" i="160"/>
  <c r="X49" i="160"/>
  <c r="W49" i="160"/>
  <c r="V49" i="160"/>
  <c r="U49" i="160"/>
  <c r="T49" i="160"/>
  <c r="S49" i="160"/>
  <c r="R49" i="160"/>
  <c r="Q49" i="160"/>
  <c r="P49" i="160"/>
  <c r="O49" i="160"/>
  <c r="N49" i="160"/>
  <c r="M49" i="160"/>
  <c r="L49" i="160"/>
  <c r="K49" i="160"/>
  <c r="J49" i="160"/>
  <c r="I49" i="160"/>
  <c r="H49" i="160"/>
  <c r="G49" i="160"/>
  <c r="F49" i="160"/>
  <c r="E49" i="160"/>
  <c r="D49" i="160"/>
  <c r="C49" i="160"/>
  <c r="B49" i="160"/>
  <c r="BE46" i="160"/>
  <c r="BD46" i="160"/>
  <c r="BC46" i="160"/>
  <c r="BB46" i="160"/>
  <c r="BA46" i="160"/>
  <c r="AZ46" i="160"/>
  <c r="AY46" i="160"/>
  <c r="AX46" i="160"/>
  <c r="AW46" i="160"/>
  <c r="AV46" i="160"/>
  <c r="AU46" i="160"/>
  <c r="AT46" i="160"/>
  <c r="AS46" i="160"/>
  <c r="AR46" i="160"/>
  <c r="AQ46" i="160"/>
  <c r="AP46" i="160"/>
  <c r="AO46" i="160"/>
  <c r="AN46" i="160"/>
  <c r="AM46" i="160"/>
  <c r="AL46" i="160"/>
  <c r="AK46" i="160"/>
  <c r="AJ46" i="160"/>
  <c r="AI46" i="160"/>
  <c r="AH46" i="160"/>
  <c r="AG46" i="160"/>
  <c r="AF46" i="160"/>
  <c r="AE46" i="160"/>
  <c r="AD46" i="160"/>
  <c r="AC46" i="160"/>
  <c r="AB46" i="160"/>
  <c r="AA46" i="160"/>
  <c r="Z46" i="160"/>
  <c r="Y46" i="160"/>
  <c r="X46" i="160"/>
  <c r="W46" i="160"/>
  <c r="V46" i="160"/>
  <c r="U46" i="160"/>
  <c r="T46" i="160"/>
  <c r="S46" i="160"/>
  <c r="R46" i="160"/>
  <c r="Q46" i="160"/>
  <c r="P46" i="160"/>
  <c r="O46" i="160"/>
  <c r="N46" i="160"/>
  <c r="M46" i="160"/>
  <c r="L46" i="160"/>
  <c r="K46" i="160"/>
  <c r="J46" i="160"/>
  <c r="I46" i="160"/>
  <c r="H46" i="160"/>
  <c r="G46" i="160"/>
  <c r="F46" i="160"/>
  <c r="E46" i="160"/>
  <c r="D46" i="160"/>
  <c r="C46" i="160"/>
  <c r="B46" i="160"/>
  <c r="CW44" i="160"/>
  <c r="CV44" i="160"/>
  <c r="CU44" i="160"/>
  <c r="CT44" i="160"/>
  <c r="CS44" i="160"/>
  <c r="CR44" i="160"/>
  <c r="CQ44" i="160"/>
  <c r="CP44" i="160"/>
  <c r="CO44" i="160"/>
  <c r="CN44" i="160"/>
  <c r="CM44" i="160"/>
  <c r="CL44" i="160"/>
  <c r="CK44" i="160"/>
  <c r="CJ44" i="160"/>
  <c r="CI44" i="160"/>
  <c r="CH44" i="160"/>
  <c r="CG44" i="160"/>
  <c r="CF44" i="160"/>
  <c r="CE44" i="160"/>
  <c r="CD44" i="160"/>
  <c r="CC44" i="160"/>
  <c r="CB44" i="160"/>
  <c r="CA44" i="160"/>
  <c r="BZ44" i="160"/>
  <c r="BY44" i="160"/>
  <c r="BX44" i="160"/>
  <c r="BW44" i="160"/>
  <c r="BV44" i="160"/>
  <c r="BU44" i="160"/>
  <c r="BT44" i="160"/>
  <c r="BS44" i="160"/>
  <c r="BR44" i="160"/>
  <c r="BQ44" i="160"/>
  <c r="BP44" i="160"/>
  <c r="BO44" i="160"/>
  <c r="BN44" i="160"/>
  <c r="BM44" i="160"/>
  <c r="BL44" i="160"/>
  <c r="BK44" i="160"/>
  <c r="BJ44" i="160"/>
  <c r="BI44" i="160"/>
  <c r="BH44" i="160"/>
  <c r="BG44" i="160"/>
  <c r="BF44" i="160"/>
  <c r="BE44" i="160"/>
  <c r="BD44" i="160"/>
  <c r="BC44" i="160"/>
  <c r="BB44" i="160"/>
  <c r="BA44" i="160"/>
  <c r="AZ44" i="160"/>
  <c r="AY44" i="160"/>
  <c r="AX44" i="160"/>
  <c r="AW44" i="160"/>
  <c r="AV44" i="160"/>
  <c r="AU44" i="160"/>
  <c r="AT44" i="160"/>
  <c r="AS44" i="160"/>
  <c r="AR44" i="160"/>
  <c r="AQ44" i="160"/>
  <c r="AP44" i="160"/>
  <c r="AO44" i="160"/>
  <c r="AN44" i="160"/>
  <c r="AM44" i="160"/>
  <c r="AL44" i="160"/>
  <c r="AK44" i="160"/>
  <c r="AJ44" i="160"/>
  <c r="AI44" i="160"/>
  <c r="AH44" i="160"/>
  <c r="AG44" i="160"/>
  <c r="AF44" i="160"/>
  <c r="AE44" i="160"/>
  <c r="AD44" i="160"/>
  <c r="AC44" i="160"/>
  <c r="AB44" i="160"/>
  <c r="AA44" i="160"/>
  <c r="Z44" i="160"/>
  <c r="Y44" i="160"/>
  <c r="X44" i="160"/>
  <c r="W44" i="160"/>
  <c r="V44" i="160"/>
  <c r="U44" i="160"/>
  <c r="T44" i="160"/>
  <c r="S44" i="160"/>
  <c r="R44" i="160"/>
  <c r="Q44" i="160"/>
  <c r="P44" i="160"/>
  <c r="O44" i="160"/>
  <c r="N44" i="160"/>
  <c r="M44" i="160"/>
  <c r="L44" i="160"/>
  <c r="K44" i="160"/>
  <c r="J44" i="160"/>
  <c r="I44" i="160"/>
  <c r="H44" i="160"/>
  <c r="G44" i="160"/>
  <c r="F44" i="160"/>
  <c r="E44" i="160"/>
  <c r="D44" i="160"/>
  <c r="C44" i="160"/>
  <c r="B44" i="160"/>
  <c r="CW43" i="160"/>
  <c r="CV43" i="160"/>
  <c r="CU43" i="160"/>
  <c r="CT43" i="160"/>
  <c r="CS43" i="160"/>
  <c r="CR43" i="160"/>
  <c r="CQ43" i="160"/>
  <c r="CP43" i="160"/>
  <c r="CO43" i="160"/>
  <c r="CN43" i="160"/>
  <c r="CM43" i="160"/>
  <c r="CL43" i="160"/>
  <c r="CK43" i="160"/>
  <c r="CJ43" i="160"/>
  <c r="CI43" i="160"/>
  <c r="CH43" i="160"/>
  <c r="CG43" i="160"/>
  <c r="CF43" i="160"/>
  <c r="CE43" i="160"/>
  <c r="CD43" i="160"/>
  <c r="CC43" i="160"/>
  <c r="CB43" i="160"/>
  <c r="CA43" i="160"/>
  <c r="BZ43" i="160"/>
  <c r="BY43" i="160"/>
  <c r="BX43" i="160"/>
  <c r="BW43" i="160"/>
  <c r="BV43" i="160"/>
  <c r="BU43" i="160"/>
  <c r="BT43" i="160"/>
  <c r="BS43" i="160"/>
  <c r="BR43" i="160"/>
  <c r="BQ43" i="160"/>
  <c r="BP43" i="160"/>
  <c r="BO43" i="160"/>
  <c r="BN43" i="160"/>
  <c r="BM43" i="160"/>
  <c r="BL43" i="160"/>
  <c r="BK43" i="160"/>
  <c r="BJ43" i="160"/>
  <c r="BI43" i="160"/>
  <c r="BH43" i="160"/>
  <c r="BG43" i="160"/>
  <c r="BF43" i="160"/>
  <c r="BE43" i="160"/>
  <c r="BD43" i="160"/>
  <c r="BC43" i="160"/>
  <c r="BB43" i="160"/>
  <c r="BA43" i="160"/>
  <c r="AZ43" i="160"/>
  <c r="AY43" i="160"/>
  <c r="AX43" i="160"/>
  <c r="AW43" i="160"/>
  <c r="AV43" i="160"/>
  <c r="AU43" i="160"/>
  <c r="AT43" i="160"/>
  <c r="AS43" i="160"/>
  <c r="AR43" i="160"/>
  <c r="AQ43" i="160"/>
  <c r="AP43" i="160"/>
  <c r="AO43" i="160"/>
  <c r="AN43" i="160"/>
  <c r="AM43" i="160"/>
  <c r="AL43" i="160"/>
  <c r="AK43" i="160"/>
  <c r="AJ43" i="160"/>
  <c r="AI43" i="160"/>
  <c r="AH43" i="160"/>
  <c r="AG43" i="160"/>
  <c r="AF43" i="160"/>
  <c r="AE43" i="160"/>
  <c r="AD43" i="160"/>
  <c r="AC43" i="160"/>
  <c r="AB43" i="160"/>
  <c r="AA43" i="160"/>
  <c r="Z43" i="160"/>
  <c r="Y43" i="160"/>
  <c r="X43" i="160"/>
  <c r="W43" i="160"/>
  <c r="V43" i="160"/>
  <c r="U43" i="160"/>
  <c r="T43" i="160"/>
  <c r="S43" i="160"/>
  <c r="R43" i="160"/>
  <c r="Q43" i="160"/>
  <c r="P43" i="160"/>
  <c r="O43" i="160"/>
  <c r="N43" i="160"/>
  <c r="M43" i="160"/>
  <c r="L43" i="160"/>
  <c r="K43" i="160"/>
  <c r="J43" i="160"/>
  <c r="I43" i="160"/>
  <c r="H43" i="160"/>
  <c r="G43" i="160"/>
  <c r="F43" i="160"/>
  <c r="E43" i="160"/>
  <c r="D43" i="160"/>
  <c r="C43" i="160"/>
  <c r="B43" i="160"/>
  <c r="CW40" i="160"/>
  <c r="CV40" i="160"/>
  <c r="CU40" i="160"/>
  <c r="CT40" i="160"/>
  <c r="CS40" i="160"/>
  <c r="CR40" i="160"/>
  <c r="CQ40" i="160"/>
  <c r="CP40" i="160"/>
  <c r="CO40" i="160"/>
  <c r="CN40" i="160"/>
  <c r="CM40" i="160"/>
  <c r="CL40" i="160"/>
  <c r="CK40" i="160"/>
  <c r="CJ40" i="160"/>
  <c r="CI40" i="160"/>
  <c r="CH40" i="160"/>
  <c r="CG40" i="160"/>
  <c r="CF40" i="160"/>
  <c r="CE40" i="160"/>
  <c r="CD40" i="160"/>
  <c r="CC40" i="160"/>
  <c r="CB40" i="160"/>
  <c r="CA40" i="160"/>
  <c r="BZ40" i="160"/>
  <c r="BY40" i="160"/>
  <c r="BX40" i="160"/>
  <c r="BW40" i="160"/>
  <c r="BV40" i="160"/>
  <c r="BU40" i="160"/>
  <c r="BT40" i="160"/>
  <c r="BS40" i="160"/>
  <c r="BR40" i="160"/>
  <c r="BQ40" i="160"/>
  <c r="BP40" i="160"/>
  <c r="BO40" i="160"/>
  <c r="BN40" i="160"/>
  <c r="BM40" i="160"/>
  <c r="BL40" i="160"/>
  <c r="BK40" i="160"/>
  <c r="BJ40" i="160"/>
  <c r="BI40" i="160"/>
  <c r="BH40" i="160"/>
  <c r="BG40" i="160"/>
  <c r="BF40" i="160"/>
  <c r="BE40" i="160"/>
  <c r="BD40" i="160"/>
  <c r="BC40" i="160"/>
  <c r="BB40" i="160"/>
  <c r="BA40" i="160"/>
  <c r="AZ40" i="160"/>
  <c r="AY40" i="160"/>
  <c r="AX40" i="160"/>
  <c r="AW40" i="160"/>
  <c r="AV40" i="160"/>
  <c r="AU40" i="160"/>
  <c r="AT40" i="160"/>
  <c r="AS40" i="160"/>
  <c r="AR40" i="160"/>
  <c r="AQ40" i="160"/>
  <c r="AP40" i="160"/>
  <c r="AO40" i="160"/>
  <c r="AN40" i="160"/>
  <c r="AM40" i="160"/>
  <c r="AL40" i="160"/>
  <c r="AK40" i="160"/>
  <c r="AJ40" i="160"/>
  <c r="AI40" i="160"/>
  <c r="AH40" i="160"/>
  <c r="AG40" i="160"/>
  <c r="AF40" i="160"/>
  <c r="AE40" i="160"/>
  <c r="AD40" i="160"/>
  <c r="AC40" i="160"/>
  <c r="AB40" i="160"/>
  <c r="AA40" i="160"/>
  <c r="Z40" i="160"/>
  <c r="Y40" i="160"/>
  <c r="X40" i="160"/>
  <c r="W40" i="160"/>
  <c r="V40" i="160"/>
  <c r="U40" i="160"/>
  <c r="T40" i="160"/>
  <c r="S40" i="160"/>
  <c r="R40" i="160"/>
  <c r="Q40" i="160"/>
  <c r="P40" i="160"/>
  <c r="O40" i="160"/>
  <c r="N40" i="160"/>
  <c r="M40" i="160"/>
  <c r="L40" i="160"/>
  <c r="K40" i="160"/>
  <c r="J40" i="160"/>
  <c r="I40" i="160"/>
  <c r="H40" i="160"/>
  <c r="G40" i="160"/>
  <c r="F40" i="160"/>
  <c r="E40" i="160"/>
  <c r="D40" i="160"/>
  <c r="C40" i="160"/>
  <c r="B40" i="160"/>
  <c r="CW37" i="160"/>
  <c r="CV37" i="160"/>
  <c r="CU37" i="160"/>
  <c r="CT37" i="160"/>
  <c r="CS37" i="160"/>
  <c r="CR37" i="160"/>
  <c r="CQ37" i="160"/>
  <c r="CP37" i="160"/>
  <c r="CO37" i="160"/>
  <c r="CN37" i="160"/>
  <c r="CM37" i="160"/>
  <c r="CL37" i="160"/>
  <c r="CK37" i="160"/>
  <c r="CJ37" i="160"/>
  <c r="CI37" i="160"/>
  <c r="CH37" i="160"/>
  <c r="CG37" i="160"/>
  <c r="CF37" i="160"/>
  <c r="CE37" i="160"/>
  <c r="CD37" i="160"/>
  <c r="CC37" i="160"/>
  <c r="CB37" i="160"/>
  <c r="CA37" i="160"/>
  <c r="BZ37" i="160"/>
  <c r="BY37" i="160"/>
  <c r="BX37" i="160"/>
  <c r="BW37" i="160"/>
  <c r="BV37" i="160"/>
  <c r="BU37" i="160"/>
  <c r="BT37" i="160"/>
  <c r="BS37" i="160"/>
  <c r="BR37" i="160"/>
  <c r="BQ37" i="160"/>
  <c r="BP37" i="160"/>
  <c r="BO37" i="160"/>
  <c r="BN37" i="160"/>
  <c r="BM37" i="160"/>
  <c r="BL37" i="160"/>
  <c r="BK37" i="160"/>
  <c r="BJ37" i="160"/>
  <c r="BI37" i="160"/>
  <c r="BH37" i="160"/>
  <c r="BG37" i="160"/>
  <c r="BF37" i="160"/>
  <c r="BE37" i="160"/>
  <c r="BD37" i="160"/>
  <c r="BC37" i="160"/>
  <c r="BB37" i="160"/>
  <c r="BA37" i="160"/>
  <c r="AZ37" i="160"/>
  <c r="AY37" i="160"/>
  <c r="AX37" i="160"/>
  <c r="AW37" i="160"/>
  <c r="AV37" i="160"/>
  <c r="AU37" i="160"/>
  <c r="AT37" i="160"/>
  <c r="AS37" i="160"/>
  <c r="AR37" i="160"/>
  <c r="AQ37" i="160"/>
  <c r="AP37" i="160"/>
  <c r="AO37" i="160"/>
  <c r="AN37" i="160"/>
  <c r="AM37" i="160"/>
  <c r="AL37" i="160"/>
  <c r="AK37" i="160"/>
  <c r="AJ37" i="160"/>
  <c r="AI37" i="160"/>
  <c r="AH37" i="160"/>
  <c r="AG37" i="160"/>
  <c r="AF37" i="160"/>
  <c r="AE37" i="160"/>
  <c r="AD37" i="160"/>
  <c r="AC37" i="160"/>
  <c r="AB37" i="160"/>
  <c r="AA37" i="160"/>
  <c r="Z37" i="160"/>
  <c r="Y37" i="160"/>
  <c r="X37" i="160"/>
  <c r="W37" i="160"/>
  <c r="V37" i="160"/>
  <c r="U37" i="160"/>
  <c r="T37" i="160"/>
  <c r="S37" i="160"/>
  <c r="R37" i="160"/>
  <c r="Q37" i="160"/>
  <c r="P37" i="160"/>
  <c r="O37" i="160"/>
  <c r="N37" i="160"/>
  <c r="M37" i="160"/>
  <c r="L37" i="160"/>
  <c r="K37" i="160"/>
  <c r="J37" i="160"/>
  <c r="I37" i="160"/>
  <c r="H37" i="160"/>
  <c r="G37" i="160"/>
  <c r="F37" i="160"/>
  <c r="E37" i="160"/>
  <c r="D37" i="160"/>
  <c r="C37" i="160"/>
  <c r="B37" i="160"/>
  <c r="CW35" i="160"/>
  <c r="CV35" i="160"/>
  <c r="CU35" i="160"/>
  <c r="CT35" i="160"/>
  <c r="CS35" i="160"/>
  <c r="CR35" i="160"/>
  <c r="CQ35" i="160"/>
  <c r="CP35" i="160"/>
  <c r="CO35" i="160"/>
  <c r="CN35" i="160"/>
  <c r="CM35" i="160"/>
  <c r="CL35" i="160"/>
  <c r="CK35" i="160"/>
  <c r="CJ35" i="160"/>
  <c r="CI35" i="160"/>
  <c r="CH35" i="160"/>
  <c r="CG35" i="160"/>
  <c r="CF35" i="160"/>
  <c r="CE35" i="160"/>
  <c r="CD35" i="160"/>
  <c r="CC35" i="160"/>
  <c r="CB35" i="160"/>
  <c r="CA35" i="160"/>
  <c r="BZ35" i="160"/>
  <c r="BY35" i="160"/>
  <c r="BX35" i="160"/>
  <c r="BW35" i="160"/>
  <c r="BV35" i="160"/>
  <c r="BU35" i="160"/>
  <c r="BT35" i="160"/>
  <c r="BS35" i="160"/>
  <c r="BR35" i="160"/>
  <c r="BP35" i="160"/>
  <c r="BO35" i="160"/>
  <c r="BN35" i="160"/>
  <c r="BM35" i="160"/>
  <c r="BL35" i="160"/>
  <c r="BK35" i="160"/>
  <c r="BJ35" i="160"/>
  <c r="BI35" i="160"/>
  <c r="BH35" i="160"/>
  <c r="BG35" i="160"/>
  <c r="BF35" i="160"/>
  <c r="BE35" i="160"/>
  <c r="BD35" i="160"/>
  <c r="BC35" i="160"/>
  <c r="BB35" i="160"/>
  <c r="BA35" i="160"/>
  <c r="AZ35" i="160"/>
  <c r="AY35" i="160"/>
  <c r="AX35" i="160"/>
  <c r="AW35" i="160"/>
  <c r="AV35" i="160"/>
  <c r="AU35" i="160"/>
  <c r="AT35" i="160"/>
  <c r="AS35" i="160"/>
  <c r="AR35" i="160"/>
  <c r="AQ35" i="160"/>
  <c r="AP35" i="160"/>
  <c r="AO35" i="160"/>
  <c r="AN35" i="160"/>
  <c r="AM35" i="160"/>
  <c r="AL35" i="160"/>
  <c r="AK35" i="160"/>
  <c r="AJ35" i="160"/>
  <c r="AI35" i="160"/>
  <c r="AH35" i="160"/>
  <c r="AG35" i="160"/>
  <c r="AF35" i="160"/>
  <c r="AE35" i="160"/>
  <c r="AD35" i="160"/>
  <c r="AC35" i="160"/>
  <c r="AB35" i="160"/>
  <c r="AA35" i="160"/>
  <c r="Z35" i="160"/>
  <c r="Y35" i="160"/>
  <c r="X35" i="160"/>
  <c r="W35" i="160"/>
  <c r="V35" i="160"/>
  <c r="U35" i="160"/>
  <c r="T35" i="160"/>
  <c r="S35" i="160"/>
  <c r="R35" i="160"/>
  <c r="Q35" i="160"/>
  <c r="P35" i="160"/>
  <c r="O35" i="160"/>
  <c r="N35" i="160"/>
  <c r="M35" i="160"/>
  <c r="L35" i="160"/>
  <c r="K35" i="160"/>
  <c r="J35" i="160"/>
  <c r="I35" i="160"/>
  <c r="H35" i="160"/>
  <c r="G35" i="160"/>
  <c r="F35" i="160"/>
  <c r="E35" i="160"/>
  <c r="D35" i="160"/>
  <c r="C35" i="160"/>
  <c r="B35" i="160"/>
  <c r="CW34" i="160"/>
  <c r="CV34" i="160"/>
  <c r="CU34" i="160"/>
  <c r="CT34" i="160"/>
  <c r="CS34" i="160"/>
  <c r="CR34" i="160"/>
  <c r="CQ34" i="160"/>
  <c r="CP34" i="160"/>
  <c r="CO34" i="160"/>
  <c r="CN34" i="160"/>
  <c r="CM34" i="160"/>
  <c r="CL34" i="160"/>
  <c r="CK34" i="160"/>
  <c r="CJ34" i="160"/>
  <c r="CI34" i="160"/>
  <c r="CH34" i="160"/>
  <c r="CG34" i="160"/>
  <c r="CF34" i="160"/>
  <c r="CE34" i="160"/>
  <c r="CD34" i="160"/>
  <c r="CC34" i="160"/>
  <c r="CB34" i="160"/>
  <c r="CA34" i="160"/>
  <c r="BZ34" i="160"/>
  <c r="BY34" i="160"/>
  <c r="BX34" i="160"/>
  <c r="BW34" i="160"/>
  <c r="BV34" i="160"/>
  <c r="BU34" i="160"/>
  <c r="BT34" i="160"/>
  <c r="BS34" i="160"/>
  <c r="BR34" i="160"/>
  <c r="BQ34" i="160"/>
  <c r="BP34" i="160"/>
  <c r="BO34" i="160"/>
  <c r="BN34" i="160"/>
  <c r="BM34" i="160"/>
  <c r="BL34" i="160"/>
  <c r="BK34" i="160"/>
  <c r="BJ34" i="160"/>
  <c r="BI34" i="160"/>
  <c r="BH34" i="160"/>
  <c r="BG34" i="160"/>
  <c r="BF34" i="160"/>
  <c r="BE34" i="160"/>
  <c r="BD34" i="160"/>
  <c r="BC34" i="160"/>
  <c r="BB34" i="160"/>
  <c r="BA34" i="160"/>
  <c r="AZ34" i="160"/>
  <c r="AY34" i="160"/>
  <c r="AX34" i="160"/>
  <c r="AW34" i="160"/>
  <c r="AV34" i="160"/>
  <c r="AU34" i="160"/>
  <c r="AT34" i="160"/>
  <c r="AS34" i="160"/>
  <c r="AR34" i="160"/>
  <c r="AQ34" i="160"/>
  <c r="AP34" i="160"/>
  <c r="AO34" i="160"/>
  <c r="AN34" i="160"/>
  <c r="AM34" i="160"/>
  <c r="AL34" i="160"/>
  <c r="AK34" i="160"/>
  <c r="AJ34" i="160"/>
  <c r="AI34" i="160"/>
  <c r="AH34" i="160"/>
  <c r="AG34" i="160"/>
  <c r="AF34" i="160"/>
  <c r="AE34" i="160"/>
  <c r="AD34" i="160"/>
  <c r="AC34" i="160"/>
  <c r="AB34" i="160"/>
  <c r="AA34" i="160"/>
  <c r="Z34" i="160"/>
  <c r="Y34" i="160"/>
  <c r="X34" i="160"/>
  <c r="W34" i="160"/>
  <c r="V34" i="160"/>
  <c r="U34" i="160"/>
  <c r="T34" i="160"/>
  <c r="S34" i="160"/>
  <c r="R34" i="160"/>
  <c r="Q34" i="160"/>
  <c r="P34" i="160"/>
  <c r="O34" i="160"/>
  <c r="N34" i="160"/>
  <c r="M34" i="160"/>
  <c r="L34" i="160"/>
  <c r="K34" i="160"/>
  <c r="J34" i="160"/>
  <c r="I34" i="160"/>
  <c r="H34" i="160"/>
  <c r="G34" i="160"/>
  <c r="F34" i="160"/>
  <c r="E34" i="160"/>
  <c r="D34" i="160"/>
  <c r="C34" i="160"/>
  <c r="B34" i="160"/>
  <c r="CW31" i="160"/>
  <c r="CV31" i="160"/>
  <c r="CU31" i="160"/>
  <c r="CT31" i="160"/>
  <c r="CS31" i="160"/>
  <c r="CR31" i="160"/>
  <c r="CQ31" i="160"/>
  <c r="CP31" i="160"/>
  <c r="CO31" i="160"/>
  <c r="CN31" i="160"/>
  <c r="CM31" i="160"/>
  <c r="CL31" i="160"/>
  <c r="CK31" i="160"/>
  <c r="CJ31" i="160"/>
  <c r="CI31" i="160"/>
  <c r="CH31" i="160"/>
  <c r="CG31" i="160"/>
  <c r="CF31" i="160"/>
  <c r="CE31" i="160"/>
  <c r="CD31" i="160"/>
  <c r="CC31" i="160"/>
  <c r="CB31" i="160"/>
  <c r="CA31" i="160"/>
  <c r="BZ31" i="160"/>
  <c r="BY31" i="160"/>
  <c r="BX31" i="160"/>
  <c r="BW31" i="160"/>
  <c r="BV31" i="160"/>
  <c r="BU31" i="160"/>
  <c r="BT31" i="160"/>
  <c r="BS31" i="160"/>
  <c r="BR31" i="160"/>
  <c r="BQ31" i="160"/>
  <c r="BP31" i="160"/>
  <c r="BO31" i="160"/>
  <c r="BN31" i="160"/>
  <c r="BM31" i="160"/>
  <c r="BL31" i="160"/>
  <c r="BK31" i="160"/>
  <c r="BJ31" i="160"/>
  <c r="BI31" i="160"/>
  <c r="BH31" i="160"/>
  <c r="BG31" i="160"/>
  <c r="BF31" i="160"/>
  <c r="BE31" i="160"/>
  <c r="BD31" i="160"/>
  <c r="BC31" i="160"/>
  <c r="BB31" i="160"/>
  <c r="BA31" i="160"/>
  <c r="AZ31" i="160"/>
  <c r="AY31" i="160"/>
  <c r="AX31" i="160"/>
  <c r="AW31" i="160"/>
  <c r="AV31" i="160"/>
  <c r="AU31" i="160"/>
  <c r="AT31" i="160"/>
  <c r="AS31" i="160"/>
  <c r="AR31" i="160"/>
  <c r="AQ31" i="160"/>
  <c r="AP31" i="160"/>
  <c r="AO31" i="160"/>
  <c r="AN31" i="160"/>
  <c r="AM31" i="160"/>
  <c r="AL31" i="160"/>
  <c r="AK31" i="160"/>
  <c r="AJ31" i="160"/>
  <c r="AI31" i="160"/>
  <c r="AH31" i="160"/>
  <c r="AG31" i="160"/>
  <c r="AF31" i="160"/>
  <c r="AE31" i="160"/>
  <c r="AD31" i="160"/>
  <c r="AC31" i="160"/>
  <c r="AB31" i="160"/>
  <c r="AA31" i="160"/>
  <c r="Z31" i="160"/>
  <c r="Y31" i="160"/>
  <c r="X31" i="160"/>
  <c r="W31" i="160"/>
  <c r="V31" i="160"/>
  <c r="U31" i="160"/>
  <c r="T31" i="160"/>
  <c r="S31" i="160"/>
  <c r="R31" i="160"/>
  <c r="Q31" i="160"/>
  <c r="P31" i="160"/>
  <c r="O31" i="160"/>
  <c r="N31" i="160"/>
  <c r="M31" i="160"/>
  <c r="L31" i="160"/>
  <c r="K31" i="160"/>
  <c r="J31" i="160"/>
  <c r="I31" i="160"/>
  <c r="H31" i="160"/>
  <c r="G31" i="160"/>
  <c r="F31" i="160"/>
  <c r="E31" i="160"/>
  <c r="D31" i="160"/>
  <c r="C31" i="160"/>
  <c r="B31" i="160"/>
  <c r="CW28" i="160"/>
  <c r="CV28" i="160"/>
  <c r="CU28" i="160"/>
  <c r="CT28" i="160"/>
  <c r="CS28" i="160"/>
  <c r="CR28" i="160"/>
  <c r="CQ28" i="160"/>
  <c r="CP28" i="160"/>
  <c r="CO28" i="160"/>
  <c r="CN28" i="160"/>
  <c r="CM28" i="160"/>
  <c r="CL28" i="160"/>
  <c r="CK28" i="160"/>
  <c r="CJ28" i="160"/>
  <c r="CI28" i="160"/>
  <c r="CH28" i="160"/>
  <c r="CG28" i="160"/>
  <c r="CF28" i="160"/>
  <c r="CE28" i="160"/>
  <c r="CD28" i="160"/>
  <c r="CC28" i="160"/>
  <c r="CB28" i="160"/>
  <c r="CA28" i="160"/>
  <c r="BZ28" i="160"/>
  <c r="BY28" i="160"/>
  <c r="BX28" i="160"/>
  <c r="BW28" i="160"/>
  <c r="BV28" i="160"/>
  <c r="BU28" i="160"/>
  <c r="BT28" i="160"/>
  <c r="BS28" i="160"/>
  <c r="BR28" i="160"/>
  <c r="BQ28" i="160"/>
  <c r="BP28" i="160"/>
  <c r="BO28" i="160"/>
  <c r="BN28" i="160"/>
  <c r="BM28" i="160"/>
  <c r="BL28" i="160"/>
  <c r="BK28" i="160"/>
  <c r="BJ28" i="160"/>
  <c r="BI28" i="160"/>
  <c r="BH28" i="160"/>
  <c r="BG28" i="160"/>
  <c r="BF28" i="160"/>
  <c r="BE28" i="160"/>
  <c r="BD28" i="160"/>
  <c r="BC28" i="160"/>
  <c r="BB28" i="160"/>
  <c r="BA28" i="160"/>
  <c r="AZ28" i="160"/>
  <c r="AY28" i="160"/>
  <c r="AX28" i="160"/>
  <c r="AW28" i="160"/>
  <c r="AV28" i="160"/>
  <c r="AU28" i="160"/>
  <c r="AT28" i="160"/>
  <c r="AS28" i="160"/>
  <c r="AR28" i="160"/>
  <c r="AQ28" i="160"/>
  <c r="AP28" i="160"/>
  <c r="AO28" i="160"/>
  <c r="AN28" i="160"/>
  <c r="AM28" i="160"/>
  <c r="AL28" i="160"/>
  <c r="AK28" i="160"/>
  <c r="AJ28" i="160"/>
  <c r="AI28" i="160"/>
  <c r="AH28" i="160"/>
  <c r="AG28" i="160"/>
  <c r="AF28" i="160"/>
  <c r="AE28" i="160"/>
  <c r="AD28" i="160"/>
  <c r="AC28" i="160"/>
  <c r="AB28" i="160"/>
  <c r="AA28" i="160"/>
  <c r="Z28" i="160"/>
  <c r="Y28" i="160"/>
  <c r="X28" i="160"/>
  <c r="W28" i="160"/>
  <c r="V28" i="160"/>
  <c r="U28" i="160"/>
  <c r="T28" i="160"/>
  <c r="S28" i="160"/>
  <c r="R28" i="160"/>
  <c r="Q28" i="160"/>
  <c r="P28" i="160"/>
  <c r="O28" i="160"/>
  <c r="N28" i="160"/>
  <c r="M28" i="160"/>
  <c r="L28" i="160"/>
  <c r="K28" i="160"/>
  <c r="J28" i="160"/>
  <c r="I28" i="160"/>
  <c r="H28" i="160"/>
  <c r="G28" i="160"/>
  <c r="F28" i="160"/>
  <c r="E28" i="160"/>
  <c r="D28" i="160"/>
  <c r="C28" i="160"/>
  <c r="B28" i="160"/>
  <c r="AY25" i="160"/>
  <c r="AX25" i="160"/>
  <c r="AW25" i="160"/>
  <c r="AV25" i="160"/>
  <c r="AU25" i="160"/>
  <c r="AT25" i="160"/>
  <c r="AS25" i="160"/>
  <c r="AR25" i="160"/>
  <c r="AQ25" i="160"/>
  <c r="AP25" i="160"/>
  <c r="AO25" i="160"/>
  <c r="AN25" i="160"/>
  <c r="AM25" i="160"/>
  <c r="AL25" i="160"/>
  <c r="AK25" i="160"/>
  <c r="AJ25" i="160"/>
  <c r="AI25" i="160"/>
  <c r="AH25" i="160"/>
  <c r="AG25" i="160"/>
  <c r="AF25" i="160"/>
  <c r="AE25" i="160"/>
  <c r="AD25" i="160"/>
  <c r="AC25" i="160"/>
  <c r="AB25" i="160"/>
  <c r="AA25" i="160"/>
  <c r="Z25" i="160"/>
  <c r="Y25" i="160"/>
  <c r="X25" i="160"/>
  <c r="W25" i="160"/>
  <c r="V25" i="160"/>
  <c r="U25" i="160"/>
  <c r="T25" i="160"/>
  <c r="S25" i="160"/>
  <c r="R25" i="160"/>
  <c r="Q25" i="160"/>
  <c r="P25" i="160"/>
  <c r="O25" i="160"/>
  <c r="N25" i="160"/>
  <c r="M25" i="160"/>
  <c r="L25" i="160"/>
  <c r="K25" i="160"/>
  <c r="J25" i="160"/>
  <c r="I25" i="160"/>
  <c r="H25" i="160"/>
  <c r="G25" i="160"/>
  <c r="F25" i="160"/>
  <c r="E25" i="160"/>
  <c r="D25" i="160"/>
  <c r="C25" i="160"/>
  <c r="B25" i="160"/>
  <c r="AY7" i="160"/>
  <c r="AX7" i="160"/>
  <c r="AW7" i="160"/>
  <c r="AV7" i="160"/>
  <c r="AU7" i="160"/>
  <c r="AT7" i="160"/>
  <c r="AS7" i="160"/>
  <c r="AR7" i="160"/>
  <c r="AQ7" i="160"/>
  <c r="AP7" i="160"/>
  <c r="AO7" i="160"/>
  <c r="AN7" i="160"/>
  <c r="AM7" i="160"/>
  <c r="AL7" i="160"/>
  <c r="AK7" i="160"/>
  <c r="AJ7" i="160"/>
  <c r="AI7" i="160"/>
  <c r="AH7" i="160"/>
  <c r="AG7" i="160"/>
  <c r="AF7" i="160"/>
  <c r="AE7" i="160"/>
  <c r="AD7" i="160"/>
  <c r="AC7" i="160"/>
  <c r="AB7" i="160"/>
  <c r="AA7" i="160"/>
  <c r="Z7" i="160"/>
  <c r="Y7" i="160"/>
  <c r="X7" i="160"/>
  <c r="W7" i="160"/>
  <c r="V7" i="160"/>
  <c r="U7" i="160"/>
  <c r="T7" i="160"/>
  <c r="S7" i="160"/>
  <c r="R7" i="160"/>
  <c r="Q7" i="160"/>
  <c r="P7" i="160"/>
  <c r="O7" i="160"/>
  <c r="N7" i="160"/>
  <c r="M7" i="160"/>
  <c r="L7" i="160"/>
  <c r="K7" i="160"/>
  <c r="J7" i="160"/>
  <c r="I7" i="160"/>
  <c r="H7" i="160"/>
  <c r="G7" i="160"/>
  <c r="F7" i="160"/>
  <c r="E7" i="160"/>
  <c r="D7" i="160"/>
  <c r="C7" i="160"/>
  <c r="B7" i="160"/>
  <c r="AY76" i="1"/>
  <c r="AX76" i="1"/>
  <c r="AW76" i="1"/>
  <c r="AV76" i="1"/>
  <c r="AU76" i="1"/>
  <c r="AT76" i="1"/>
  <c r="AS76" i="1"/>
  <c r="AR76" i="1"/>
  <c r="AQ76" i="1"/>
  <c r="AP76" i="1"/>
  <c r="AO76" i="1"/>
  <c r="AN76" i="1"/>
  <c r="AM76" i="1"/>
  <c r="AL76" i="1"/>
  <c r="AK76" i="1"/>
  <c r="AJ76" i="1"/>
  <c r="AI76" i="1"/>
  <c r="AH76" i="1"/>
  <c r="AG76" i="1"/>
  <c r="AF76" i="1"/>
  <c r="AE76" i="1"/>
  <c r="AD76" i="1"/>
  <c r="AC76" i="1"/>
  <c r="AB76" i="1"/>
  <c r="AA76" i="1"/>
  <c r="Z76" i="1"/>
  <c r="Y76" i="1"/>
  <c r="X76" i="1"/>
  <c r="W76" i="1"/>
  <c r="V76" i="1"/>
  <c r="U76" i="1"/>
  <c r="T76" i="1"/>
  <c r="S76" i="1"/>
  <c r="R76" i="1"/>
  <c r="Q76" i="1"/>
  <c r="P76" i="1"/>
  <c r="O76" i="1"/>
  <c r="N76" i="1"/>
  <c r="M76" i="1"/>
  <c r="L76" i="1"/>
  <c r="K76" i="1"/>
  <c r="J76" i="1"/>
  <c r="I76" i="1"/>
  <c r="H76" i="1"/>
  <c r="G76" i="1"/>
  <c r="F76" i="1"/>
  <c r="E76" i="1"/>
  <c r="D76" i="1"/>
  <c r="C76" i="1"/>
  <c r="B76" i="1"/>
  <c r="E46" i="1"/>
  <c r="D46" i="1"/>
  <c r="C46" i="1"/>
  <c r="AY6" i="1"/>
  <c r="AX6" i="1"/>
  <c r="AW6" i="1"/>
  <c r="AV6" i="1"/>
  <c r="AU6" i="1"/>
  <c r="AT6" i="1"/>
  <c r="AS6" i="1"/>
  <c r="AR6" i="1"/>
  <c r="AQ6" i="1"/>
  <c r="AP6" i="1"/>
  <c r="AO6" i="1"/>
  <c r="AN6" i="1"/>
  <c r="AM6" i="1"/>
  <c r="AL6" i="1"/>
  <c r="AK6" i="1"/>
  <c r="AJ6" i="1"/>
  <c r="AI6" i="1"/>
  <c r="AH6" i="1"/>
  <c r="AG6" i="1"/>
  <c r="AF6" i="1"/>
  <c r="AE6" i="1"/>
  <c r="AD6" i="1"/>
  <c r="AC6" i="1"/>
  <c r="AB6" i="1"/>
  <c r="AA6" i="1"/>
  <c r="Z6" i="1"/>
  <c r="Y6" i="1"/>
  <c r="X6" i="1"/>
  <c r="W6" i="1"/>
  <c r="V6" i="1"/>
  <c r="U6" i="1"/>
  <c r="T6" i="1"/>
  <c r="S6" i="1"/>
  <c r="R6" i="1"/>
  <c r="Q6" i="1"/>
  <c r="P6" i="1"/>
  <c r="O6" i="1"/>
  <c r="N6" i="1"/>
  <c r="M6" i="1"/>
  <c r="L6" i="1"/>
  <c r="K6" i="1"/>
  <c r="J6" i="1"/>
  <c r="I6" i="1"/>
  <c r="H6" i="1"/>
  <c r="G6" i="1"/>
  <c r="F6" i="1"/>
  <c r="E6" i="1"/>
  <c r="D6" i="1"/>
  <c r="C6" i="1"/>
  <c r="B6" i="1"/>
  <c r="BL4" i="1"/>
  <c r="BL3" i="1"/>
</calcChain>
</file>

<file path=xl/comments1.xml><?xml version="1.0" encoding="utf-8"?>
<comments xmlns="http://schemas.openxmlformats.org/spreadsheetml/2006/main">
  <authors>
    <author>lyons</author>
    <author>Alejandro Pérez</author>
  </authors>
  <commentList>
    <comment ref="G2" authorId="0">
      <text>
        <r>
          <rPr>
            <b/>
            <sz val="14"/>
            <color indexed="81"/>
            <rFont val="Arial"/>
            <family val="2"/>
          </rPr>
          <t xml:space="preserve">MULTI_GRAPH is a flexible plotting program designed to make it easy to rapidly compare many different data sets. The data to be compared must be in CSV files (see "FILENAME" description for more details)
Procedure for use:
  1) Enter the list of data files to be compared in rows 4, 5 &amp; 7 at the top of this page, then press the "GET FILES" button.
</t>
        </r>
        <r>
          <rPr>
            <i/>
            <sz val="14"/>
            <color indexed="81"/>
            <rFont val="Arial"/>
            <family val="2"/>
          </rPr>
          <t>Note - new files can be brought in at any time, however, ALL EQUATIONS WILL BE LOST when this is done.</t>
        </r>
        <r>
          <rPr>
            <b/>
            <sz val="14"/>
            <color indexed="81"/>
            <rFont val="Arial"/>
            <family val="2"/>
          </rPr>
          <t xml:space="preserve">
  2) Put in the desired X and Y variable numbers to be plotted in B41 through J42 on this sheet, then press the "PLOT" button. These numbers can be changed as many times as desired and new plots will be created every time the "PLOT"button is pressed
  3) Cross plots of data can be created (data from different data sets is combined such that the point number is the data set number from which the data came). For more information see "Cross Plots" on the CONTROL sheet
  4) If a new variable is desired, enter the formula for the new variable ONCE on the "DATA 1" sheet, enter the cell containing that new formula below in M41 and press the "COPY EQUATION" button. As many new variables as desired can be created using this method. Naturally these new variables can be plotted as discussed in (2)
  5) User defined curves can be added to the plots - see USER CURVES sheet
  6) For control over how the plot looks - see the lower areas of the CONTROL sheet and the PLOT LAYOUT sheet
  7) For information on saving and restoring equations, see "Equation Control" (M40) on CONTROL sheet
For more detailed explanations, please see the other comments on this sheet
Convention - Items in LIGHT BLUE can be changed by the user
                      - Items in YELLOW are informational only - DO NOT CHANGE
                      - Items in RED are for program use only - DO NOT CHANGE
Limitations / Problems:
- Data sets must be brought in sequentially (no empty cells between files in FILENAME row). Limit of 50 data sets
- Sometimes the program has trouble determining number of data points, which causes problems in equations. You can modify the number of points in the "Number Data Points" row at the bottom of the CONTROL sheet to fix this</t>
        </r>
      </text>
    </comment>
    <comment ref="A4" authorId="0">
      <text>
        <r>
          <rPr>
            <b/>
            <sz val="14"/>
            <color indexed="81"/>
            <rFont val="Arial"/>
            <family val="2"/>
          </rPr>
          <t xml:space="preserve">This is the "base" filename for all the CSV files being brought into MULTI_GRAPH
For Example, if the files to be brought in are:
501G_aero.csv
701G2_aero.csv
501H_aero.csv
then this row should contain
501G      701G2       501H
</t>
        </r>
        <r>
          <rPr>
            <b/>
            <sz val="14"/>
            <color indexed="10"/>
            <rFont val="Arial"/>
            <family val="2"/>
          </rPr>
          <t>Limitations:
Maximum of 50 data sets
Filenames must be sequential, i.e. no blank columns between filenames</t>
        </r>
      </text>
    </comment>
    <comment ref="A5" authorId="0">
      <text>
        <r>
          <rPr>
            <b/>
            <sz val="14"/>
            <color indexed="81"/>
            <rFont val="Arial"/>
            <family val="2"/>
          </rPr>
          <t>If the CSV file is in same directory as MULTI_GRAPH, then this row should be blank
If the CSV file is not in same directory as MULTI_GRAPH, then this should be the path to the file.
  For Example: P:\Lyons\Meanline\Data</t>
        </r>
      </text>
    </comment>
    <comment ref="A6" authorId="0">
      <text>
        <r>
          <rPr>
            <b/>
            <sz val="14"/>
            <color indexed="10"/>
            <rFont val="Arial"/>
            <family val="2"/>
          </rPr>
          <t>DO NOT EDIT</t>
        </r>
        <r>
          <rPr>
            <b/>
            <sz val="14"/>
            <color indexed="81"/>
            <rFont val="Arial"/>
            <family val="2"/>
          </rPr>
          <t xml:space="preserve">
This row shows which data sets are shown on the plot
    0 - data set will not be shown in plot
    1 - data set will be shown in plot
Which data sets are chosen is determined in "Data Set Choice" section below</t>
        </r>
      </text>
    </comment>
    <comment ref="A7" authorId="0">
      <text>
        <r>
          <rPr>
            <b/>
            <sz val="14"/>
            <color indexed="81"/>
            <rFont val="Arial"/>
            <family val="2"/>
          </rPr>
          <t xml:space="preserve">This is the "common extension" for all the CSV files being brought into MULTI_GRAPH
For Example, if the files to be brought in are:
501G_aero.csv
701G2_aero.csv
501H_aero.csv
then this cell should contain
_aero.csv
</t>
        </r>
      </text>
    </comment>
    <comment ref="B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C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D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E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F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G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H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I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J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M40" authorId="0">
      <text>
        <r>
          <rPr>
            <b/>
            <sz val="14"/>
            <color indexed="81"/>
            <rFont val="Arial"/>
            <family val="2"/>
          </rPr>
          <t xml:space="preserve">This feature allows the user to enter a formula ONCE, but have it evaluated for all data points for all data sets
Procedure:
1) On "Data 1" sheet enter a valid formula in one cell, or a series of formulae on one row in adjactent columns </t>
        </r>
        <r>
          <rPr>
            <i/>
            <sz val="14"/>
            <color indexed="81"/>
            <rFont val="Arial"/>
            <family val="2"/>
          </rPr>
          <t>(examples:  a single equation in R2, or 3 equations in Cells R2:U2 )</t>
        </r>
        <r>
          <rPr>
            <b/>
            <sz val="14"/>
            <color indexed="81"/>
            <rFont val="Arial"/>
            <family val="2"/>
          </rPr>
          <t xml:space="preserve">
2) Enter a new variable name at the top of each column that has a formula </t>
        </r>
        <r>
          <rPr>
            <i/>
            <sz val="14"/>
            <color indexed="81"/>
            <rFont val="Arial"/>
            <family val="2"/>
          </rPr>
          <t>( in the above example, this name would go in cells R1 to U1 on the "Data 1" sheet)</t>
        </r>
        <r>
          <rPr>
            <b/>
            <sz val="14"/>
            <color indexed="81"/>
            <rFont val="Arial"/>
            <family val="2"/>
          </rPr>
          <t xml:space="preserve">
3) Enter the range of the cell(s) with the new formula(e) into the cell below this cell on the "Control" sheet </t>
        </r>
        <r>
          <rPr>
            <i/>
            <sz val="14"/>
            <color indexed="81"/>
            <rFont val="Arial"/>
            <family val="2"/>
          </rPr>
          <t>(in the above example, enter "R2:U2" into cell M41 on the "CONTROL" sheet</t>
        </r>
        <r>
          <rPr>
            <b/>
            <sz val="14"/>
            <color indexed="81"/>
            <rFont val="Arial"/>
            <family val="2"/>
          </rPr>
          <t xml:space="preserve">) Note - do </t>
        </r>
        <r>
          <rPr>
            <b/>
            <sz val="14"/>
            <color indexed="10"/>
            <rFont val="Arial"/>
            <family val="2"/>
          </rPr>
          <t>NOT</t>
        </r>
        <r>
          <rPr>
            <b/>
            <sz val="14"/>
            <color indexed="81"/>
            <rFont val="Arial"/>
            <family val="2"/>
          </rPr>
          <t xml:space="preserve"> include "$" in the cell address
4) Press the "Evaluate Equations" Button - the new formula(e) is automatically evaluated for all data points and all data sets, and a new variable appears in the above list of variable names
5) If it is desirable to store the present equations for use with other data sets, press the "Save Equations" Button on the "Control" sheet, then bring in the new data sets, then press the "Restore Equations" Button on the "Control" sheet
SPECIAL FUNCTIONS
1) If instead of entering an equation into a cell on the Data 1 sheet, you simply enter "Set Number" (without the quotes) as the title for the variable, the macro will put in the data set number (the number on the data sheet) in that column. Useful for identification purposes when plotting stuff
</t>
        </r>
        <r>
          <rPr>
            <b/>
            <sz val="14"/>
            <color indexed="10"/>
            <rFont val="Arial"/>
            <family val="2"/>
          </rPr>
          <t xml:space="preserve">WARNING - the formula entered on the Data 1 sheet </t>
        </r>
        <r>
          <rPr>
            <b/>
            <u/>
            <sz val="14"/>
            <color indexed="10"/>
            <rFont val="Arial"/>
            <family val="2"/>
          </rPr>
          <t>MUST</t>
        </r>
        <r>
          <rPr>
            <b/>
            <sz val="14"/>
            <color indexed="10"/>
            <rFont val="Arial"/>
            <family val="2"/>
          </rPr>
          <t xml:space="preserve"> evaluate to a number (not "" or " "), otherwise if this variable is used as the X parameter the plot will use 'data point number' as the X-axis rather than the calculated values</t>
        </r>
      </text>
    </comment>
    <comment ref="A41" authorId="0">
      <text>
        <r>
          <rPr>
            <b/>
            <sz val="14"/>
            <color indexed="81"/>
            <rFont val="Arial"/>
            <family val="2"/>
          </rPr>
          <t>X Parameter for plot
Enter variable number or column to be used as X axis
If nothing entered, plot is turned off</t>
        </r>
      </text>
    </comment>
    <comment ref="S41" authorId="0">
      <text>
        <r>
          <rPr>
            <b/>
            <sz val="14"/>
            <color indexed="81"/>
            <rFont val="Arial"/>
            <family val="2"/>
          </rPr>
          <t xml:space="preserve">The height of all the plots is set to the value entered here.
Default = 660 for one plot, 330 for 2 to 4 plots, 220 for 5 to 9 plots
</t>
        </r>
      </text>
    </comment>
    <comment ref="T41" authorId="0">
      <text>
        <r>
          <rPr>
            <b/>
            <sz val="14"/>
            <color indexed="81"/>
            <rFont val="Arial"/>
            <family val="2"/>
          </rPr>
          <t xml:space="preserve">The width of all the plots is set to the value entered here.
Default = 1050 for 1 plot, 525 for 2 to 4 plots, and 350 for 5 to 9 plots
</t>
        </r>
      </text>
    </comment>
    <comment ref="U41" authorId="0">
      <text>
        <r>
          <rPr>
            <b/>
            <sz val="14"/>
            <color indexed="81"/>
            <rFont val="Arial"/>
            <family val="2"/>
          </rPr>
          <t xml:space="preserve">The horizontal distance between plots is set to the value entered here.
Default = 10
</t>
        </r>
      </text>
    </comment>
    <comment ref="V41" authorId="0">
      <text>
        <r>
          <rPr>
            <b/>
            <sz val="14"/>
            <color indexed="81"/>
            <rFont val="Arial"/>
            <family val="2"/>
          </rPr>
          <t xml:space="preserve">The vertical spacing between plots is set to the value entered here.
Default = 10
</t>
        </r>
      </text>
    </comment>
    <comment ref="Y41" authorId="0">
      <text>
        <r>
          <rPr>
            <b/>
            <sz val="14"/>
            <color indexed="81"/>
            <rFont val="Arial"/>
            <family val="2"/>
          </rPr>
          <t>First data set in range for units to be purged</t>
        </r>
      </text>
    </comment>
    <comment ref="A42" authorId="0">
      <text>
        <r>
          <rPr>
            <b/>
            <sz val="14"/>
            <color indexed="81"/>
            <rFont val="Arial"/>
            <family val="2"/>
          </rPr>
          <t>Y Parameter for plot
Enter variable number or column to be used as Y axis
If nothing entered, plot is turned off</t>
        </r>
      </text>
    </comment>
    <comment ref="A43" authorId="0">
      <text>
        <r>
          <rPr>
            <b/>
            <sz val="14"/>
            <color indexed="81"/>
            <rFont val="Arial"/>
            <family val="2"/>
          </rPr>
          <t>This combines all data sets into one, where each data set is represented by a single point (the point number = the data set number). Which point is chosen from each data set is controlled by the Point Number parameter on the Plot Layout sheet
1 =&gt; Cross Plot is turned on
Entering anything other than 1 results in normal plot</t>
        </r>
      </text>
    </comment>
    <comment ref="P43" authorId="0">
      <text>
        <r>
          <rPr>
            <b/>
            <sz val="14"/>
            <color indexed="81"/>
            <rFont val="Arial"/>
            <family val="2"/>
          </rPr>
          <t>If this is specified, any equation that is evaluated in a row that has a blank in the column specified is cleared
For example:
If the cell next to 'Blank Colum' is set to 'A' or '1' (without quotes)
We are evaluating an equation in column 'R' 
Cell A10 is empty
=&gt; then the equation is R10 is cleared and the cell contains nothing</t>
        </r>
      </text>
    </comment>
    <comment ref="S43" authorId="0">
      <text>
        <r>
          <rPr>
            <b/>
            <sz val="14"/>
            <color indexed="81"/>
            <rFont val="Arial"/>
            <family val="2"/>
          </rPr>
          <t xml:space="preserve">Display the author's name on the plot
If = 1, author name is displayed on plot
Anything else, author name is not displayed
</t>
        </r>
      </text>
    </comment>
    <comment ref="T43" authorId="0">
      <text>
        <r>
          <rPr>
            <b/>
            <sz val="14"/>
            <color indexed="81"/>
            <rFont val="Arial"/>
            <family val="2"/>
          </rPr>
          <t xml:space="preserve">The name of the author of the plots
Anything input here is used as the author's name
If nothing is entered, then the name is set to whomever this copy of Excel thinks is the owner
</t>
        </r>
      </text>
    </comment>
    <comment ref="U43" authorId="0">
      <text>
        <r>
          <rPr>
            <b/>
            <sz val="14"/>
            <color indexed="81"/>
            <rFont val="Arial"/>
            <family val="2"/>
          </rPr>
          <t xml:space="preserve">Display the date on the plot
If = 1, date is displayed on plot
Anything else, date is not displayed
</t>
        </r>
      </text>
    </comment>
    <comment ref="V43" authorId="0">
      <text>
        <r>
          <rPr>
            <b/>
            <sz val="14"/>
            <color indexed="81"/>
            <rFont val="Arial"/>
            <family val="2"/>
          </rPr>
          <t xml:space="preserve">Display the X and Y variable numbers on the plot
If = 1, variable numbers are displayed on plot
Anything else, variable numbers are not displayed
</t>
        </r>
      </text>
    </comment>
    <comment ref="Y43" authorId="0">
      <text>
        <r>
          <rPr>
            <b/>
            <sz val="14"/>
            <color indexed="81"/>
            <rFont val="Arial"/>
            <family val="2"/>
          </rPr>
          <t>Last data set in range of sets with units to be purged</t>
        </r>
      </text>
    </comment>
    <comment ref="A44" authorId="0">
      <text>
        <r>
          <rPr>
            <b/>
            <sz val="14"/>
            <color indexed="81"/>
            <rFont val="Arial"/>
            <family val="2"/>
          </rPr>
          <t>If Cross Plot option (above) is turned on, this controls the type of trend line added
Default is LINEAR
Enter following for various fits
P2 - 2nd order polynomial fit
P3 - 3rd order polynomial fit
….
P6 - 6th order polynomial fit
L - Logarithmic fit
W - poWer fit
E - Exponential fir
N - None</t>
        </r>
      </text>
    </comment>
    <comment ref="A45" authorId="0">
      <text>
        <r>
          <rPr>
            <b/>
            <sz val="14"/>
            <color indexed="81"/>
            <rFont val="Arial"/>
            <family val="2"/>
          </rPr>
          <t xml:space="preserve">Display the legend on the plot
If = 1, the legend is displayed on plot
Anything else, the legend is not displayed
</t>
        </r>
      </text>
    </comment>
    <comment ref="L45" authorId="0">
      <text>
        <r>
          <rPr>
            <b/>
            <sz val="14"/>
            <color indexed="81"/>
            <rFont val="Arial"/>
            <family val="2"/>
          </rPr>
          <t>This feature allows the user to select which data is plotted from each data set
Procedure:
1) Enter 1st parameter ID (column number)r for selection undertop  left PARAMETER column below   
2) Enter selection criteria under GREATER THAN and LESS THAN columns to right of parameter column
3) Add additional AND contraints in next rows (can be same parameter or additional parameters)
4) Add additional OR constraints in columns to right (can be same parameter or additional parameters)
Push SELECT DATA button to chose data. Note that the selection process is applied to all data, not just to currently selected data
Push RESTORE DATA to reselect all data (or eliminate all constaints and hit SELECT DATA)
Note - any blank spaces are considered 'TRUE' for selection process.
Examples:
A) Upper left parm = A, Greater Than = 5, Less Than = 10, others blank =&gt; Any data where parm A is =&lt; 5 or is &gt;= 10 is removed from the plots
B) Upper left parm = A, Greater Than = 5 =&gt; Any data where parm A is =&lt; 5 is removed from plots
C) Upper left parm = A, GT=5, LT=10,  Upper right Parm = B, GT=0 =&gt; Data where Parm A is between 5 and 10, or where parm B &gt; 0 is displayed
D) Upper left parm = A, GT=5, LT=10, Upper right Parm = B, GT=0,  Mid left Parm = C, GT= blank, LT = 4 =&gt; 
    Displayed data is ( ( 5=&lt; Parm A =&gt;10 ) .or. ( Parm B  &gt; 0 ) ) .and. ( Parm C &lt; 4 )</t>
        </r>
      </text>
    </comment>
    <comment ref="A46" authorId="0">
      <text>
        <r>
          <rPr>
            <b/>
            <sz val="14"/>
            <color indexed="81"/>
            <rFont val="Arial"/>
            <family val="2"/>
          </rPr>
          <t xml:space="preserve">Anything entered here will be used as the title for the plot. If nothing is entered, the title will default to "Plot N" where N is the plot number
</t>
        </r>
      </text>
    </comment>
    <comment ref="A47" authorId="0">
      <text>
        <r>
          <rPr>
            <b/>
            <sz val="14"/>
            <color indexed="81"/>
            <rFont val="Arial"/>
            <family val="2"/>
          </rPr>
          <t xml:space="preserve">Control the font size of the plot title
If nothing is entered, the size will automatically be set by Excel
If a valid numeric value is entered, it will be used as the font size
</t>
        </r>
      </text>
    </comment>
    <comment ref="A48" authorId="0">
      <text>
        <r>
          <rPr>
            <b/>
            <sz val="14"/>
            <color indexed="81"/>
            <rFont val="Arial"/>
            <family val="2"/>
          </rPr>
          <t xml:space="preserve">Control the font size of the numbers on the X and Y axes
If nothing is entered, the size will automatically be set by Excel
If a valid numeric value is entered, it will be used as the font size
</t>
        </r>
      </text>
    </comment>
    <comment ref="W48" authorId="1">
      <text>
        <r>
          <rPr>
            <b/>
            <sz val="14"/>
            <color indexed="81"/>
            <rFont val="Arial"/>
            <family val="2"/>
          </rPr>
          <t>Select first data set to be saved by entering its index number as found in row 3</t>
        </r>
      </text>
    </comment>
    <comment ref="X48" authorId="1">
      <text>
        <r>
          <rPr>
            <b/>
            <sz val="14"/>
            <color indexed="81"/>
            <rFont val="Arial"/>
            <family val="2"/>
          </rPr>
          <t>Enter last data set to be saved. Leave blank or enter same number as first data set to save only 1 data set.</t>
        </r>
      </text>
    </comment>
    <comment ref="A49" authorId="0">
      <text>
        <r>
          <rPr>
            <b/>
            <sz val="14"/>
            <color indexed="81"/>
            <rFont val="Arial"/>
            <family val="2"/>
          </rPr>
          <t xml:space="preserve">Control the font size of the X and Y axes labels
If nothing is entered, the size will automatically be set by Excel
If a valid numeric value is entered, it will be used as the font size
</t>
        </r>
      </text>
    </comment>
    <comment ref="A50" authorId="0">
      <text>
        <r>
          <rPr>
            <b/>
            <sz val="14"/>
            <color indexed="81"/>
            <rFont val="Arial"/>
            <family val="2"/>
          </rPr>
          <t xml:space="preserve">Control the font size of the legend
If nothing is entered, the size will automatically be set by Excel
If a valid numeric value is entered, it will be used as the font size
</t>
        </r>
      </text>
    </comment>
    <comment ref="W50" authorId="1">
      <text>
        <r>
          <rPr>
            <b/>
            <sz val="14"/>
            <color indexed="81"/>
            <rFont val="Arial"/>
            <family val="2"/>
          </rPr>
          <t>Enter desired filename below.
Omit filetype.</t>
        </r>
      </text>
    </comment>
    <comment ref="A54" authorId="0">
      <text>
        <r>
          <rPr>
            <b/>
            <sz val="14"/>
            <color indexed="81"/>
            <rFont val="Arial"/>
            <family val="2"/>
          </rPr>
          <t xml:space="preserve">To the right of this comment, enter the number of the row below that will be used for data set selection. If nothing is entered, all sets are selected
Below, each column corresponds to the data set in row 4. Whether the data set will be displayed on the plots is determined as follows:
'0' indicates data set is not displayed
Any value other than zero indicates data set is displayed
If desired, user can use column A to enter a description of the group
</t>
        </r>
      </text>
    </comment>
    <comment ref="C54" authorId="0">
      <text>
        <r>
          <rPr>
            <b/>
            <sz val="14"/>
            <color indexed="81"/>
            <rFont val="Arial"/>
            <family val="2"/>
          </rPr>
          <t>In the cell to the right enter 0 if you would not like to constrain data when combining sets.
A blank cell or any entry other than 0 will be cause combined data sets to be constrained
Constrain values are entered in the Selection Control section</t>
        </r>
      </text>
    </comment>
    <comment ref="E66" authorId="1">
      <text>
        <r>
          <rPr>
            <b/>
            <sz val="14"/>
            <color indexed="81"/>
            <rFont val="Arial"/>
            <family val="2"/>
          </rPr>
          <t>Below, enter operating system being used:
1 - Windows
2 - Mac OSX</t>
        </r>
      </text>
    </comment>
  </commentList>
</comments>
</file>

<file path=xl/comments2.xml><?xml version="1.0" encoding="utf-8"?>
<comments xmlns="http://schemas.openxmlformats.org/spreadsheetml/2006/main">
  <authors>
    <author>lyons</author>
  </authors>
  <commentList>
    <comment ref="A7" authorId="0">
      <text>
        <r>
          <rPr>
            <b/>
            <sz val="14"/>
            <color indexed="81"/>
            <rFont val="Arial"/>
            <family val="2"/>
          </rPr>
          <t xml:space="preserve">These are simply copies of the filenames for </t>
        </r>
        <r>
          <rPr>
            <b/>
            <u/>
            <sz val="14"/>
            <color indexed="10"/>
            <rFont val="Arial"/>
            <family val="2"/>
          </rPr>
          <t>Reference</t>
        </r>
        <r>
          <rPr>
            <b/>
            <sz val="14"/>
            <color indexed="81"/>
            <rFont val="Arial"/>
            <family val="2"/>
          </rPr>
          <t xml:space="preserve">
Change the input files on "Control" Sheet</t>
        </r>
      </text>
    </comment>
    <comment ref="A10" authorId="0">
      <text>
        <r>
          <rPr>
            <b/>
            <sz val="14"/>
            <color indexed="81"/>
            <rFont val="Arial"/>
            <family val="2"/>
          </rPr>
          <t xml:space="preserve">Optional Input
</t>
        </r>
        <r>
          <rPr>
            <sz val="14"/>
            <color indexed="81"/>
            <rFont val="Arial"/>
            <family val="2"/>
          </rPr>
          <t>Cross plots take one point from each data set, and combine them into a separate data set. This allows things like evaluation of error from multiple sets. The number specified here is the point number from the data set that will be used in the cross plot. Note that the point number is one less than the row number since the 1st row is reserved for titles.
Default = Point number that contains the maximum value in column A. This default is used simply because it gives the user an equation that they can easily modify.
Note - simple values are also OK. For example, entering "1" (without the quotes) selects the 1st data point in the set
For reference, here is the default method
=MATCH(MAX(INDIRECT("'Data " &amp; COLUMN()-1 &amp;  "'!A$2:A$99")), INDIRECT("'Data " &amp; COLUMN()-1 &amp;  "'!A$2:A$99"),0)
Note that the above searches rows 2 - 99 (points 1 to 98) of column A for the maximum value and returns the point number of that row</t>
        </r>
      </text>
    </comment>
    <comment ref="A13" authorId="0">
      <text>
        <r>
          <rPr>
            <b/>
            <sz val="14"/>
            <color indexed="81"/>
            <rFont val="Arial"/>
            <family val="2"/>
          </rPr>
          <t>Enter the lead character below to get the identified type of symbol:</t>
        </r>
        <r>
          <rPr>
            <sz val="14"/>
            <color indexed="81"/>
            <rFont val="Arial"/>
            <family val="2"/>
          </rPr>
          <t xml:space="preserve">
"" or " " - automatic
1 - square
2 - diamond
3 - triangle
4 - X
5 - Sar
6 - Dot
7 - Dash
8 - Circle
9 - Plus
0 - None</t>
        </r>
      </text>
    </comment>
    <comment ref="A14" authorId="0">
      <text>
        <r>
          <rPr>
            <b/>
            <sz val="14"/>
            <color indexed="81"/>
            <rFont val="Arial"/>
            <family val="2"/>
          </rPr>
          <t xml:space="preserve">Enter Color Index
</t>
        </r>
        <r>
          <rPr>
            <sz val="14"/>
            <color indexed="81"/>
            <rFont val="Arial"/>
            <family val="2"/>
          </rPr>
          <t>"" or " " - automatic
0 - no colorl
1 - Black
2 - White
3 - Red
5 - Blue
7 - Pink
8 - Light Blue
10 - Dark Green
11 - Dark Blue
Other valid Color Indices are shown on "Color Selection" Sheet</t>
        </r>
      </text>
    </comment>
    <comment ref="A15" authorId="0">
      <text>
        <r>
          <rPr>
            <b/>
            <sz val="14"/>
            <color indexed="81"/>
            <rFont val="Arial"/>
            <family val="2"/>
          </rPr>
          <t xml:space="preserve">Enter Color Index
</t>
        </r>
        <r>
          <rPr>
            <sz val="14"/>
            <color indexed="81"/>
            <rFont val="Arial"/>
            <family val="2"/>
          </rPr>
          <t>"" or " " - automatic
-1 - Same color as Foreground Color
0 - no color
1 - Black
2 - White
3 - Red
5 - Blue
7 - Pink
8 - Light Blue
10 - Dark Green
11 - Dark Blue
Other valid Color Indices are shown on "Color Selection" Sheet (1 to 56 valid)</t>
        </r>
      </text>
    </comment>
    <comment ref="A16" authorId="0">
      <text>
        <r>
          <rPr>
            <b/>
            <sz val="14"/>
            <color indexed="81"/>
            <rFont val="Arial"/>
            <family val="2"/>
          </rPr>
          <t xml:space="preserve">Enter Symbol Size
</t>
        </r>
        <r>
          <rPr>
            <sz val="14"/>
            <color indexed="81"/>
            <rFont val="Arial"/>
            <family val="2"/>
          </rPr>
          <t xml:space="preserve">"" or " " - automatic (Size = 5)
otherwise, any number  between 2 and 72 is OK
</t>
        </r>
      </text>
    </comment>
    <comment ref="A19" authorId="0">
      <text>
        <r>
          <rPr>
            <b/>
            <sz val="14"/>
            <color indexed="81"/>
            <rFont val="Arial"/>
            <family val="2"/>
          </rPr>
          <t>Enter the lead character below to get the identified type of line:</t>
        </r>
        <r>
          <rPr>
            <sz val="14"/>
            <color indexed="81"/>
            <rFont val="Arial"/>
            <family val="2"/>
          </rPr>
          <t xml:space="preserve">
"" or " " - Default
0 - None
1 - Continuous
2 - Dash
3 - Dot
4 - DashDot
5- DashDotDot
6 - Grey50
7 - Grey75
8 - Grey25</t>
        </r>
      </text>
    </comment>
    <comment ref="A20" authorId="0">
      <text>
        <r>
          <rPr>
            <b/>
            <sz val="14"/>
            <color indexed="81"/>
            <rFont val="Arial"/>
            <family val="2"/>
          </rPr>
          <t xml:space="preserve">Enter Line Color Index
</t>
        </r>
        <r>
          <rPr>
            <sz val="14"/>
            <color indexed="81"/>
            <rFont val="Arial"/>
            <family val="2"/>
          </rPr>
          <t>"" or " " - automatic
-1 - Same as Symbol Foreground Color
0 - no color
1 - Black
2 - White
3 - Red
5 - Blue
7 - Pink
8 - Light Blue
10 - Dark Green
11 - Dark Blue
Other valid Color Indices are shown on "Color Selection" Sheet (1 to 56 valid)</t>
        </r>
      </text>
    </comment>
    <comment ref="A21" authorId="0">
      <text>
        <r>
          <rPr>
            <b/>
            <sz val="14"/>
            <color indexed="81"/>
            <rFont val="Arial"/>
            <family val="2"/>
          </rPr>
          <t>Enter the lead character below to get the identified line weight:</t>
        </r>
        <r>
          <rPr>
            <sz val="14"/>
            <color indexed="81"/>
            <rFont val="Arial"/>
            <family val="2"/>
          </rPr>
          <t xml:space="preserve">
"" or " " - Default (Thin)
1 - Hairline
2 - Thin
3 - Medium
4 - Thick</t>
        </r>
      </text>
    </comment>
    <comment ref="A24" authorId="0">
      <text>
        <r>
          <rPr>
            <b/>
            <sz val="14"/>
            <color indexed="81"/>
            <rFont val="Arial"/>
            <family val="2"/>
          </rPr>
          <t xml:space="preserve">Optional Input
</t>
        </r>
        <r>
          <rPr>
            <sz val="14"/>
            <color indexed="81"/>
            <rFont val="Arial"/>
            <family val="2"/>
          </rPr>
          <t>The default legend name of the data series is the filename (row 7). If anything is entered in these fields, that is how the data series will be identified in the legend.
Thus, entering "" or " " in this row results in the filename being used in the legend
Any other character string entered here replaces the filename in the legend</t>
        </r>
      </text>
    </comment>
    <comment ref="A30"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32"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33"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39"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41"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42"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48"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50"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51"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List>
</comments>
</file>

<file path=xl/comments3.xml><?xml version="1.0" encoding="utf-8"?>
<comments xmlns="http://schemas.openxmlformats.org/spreadsheetml/2006/main">
  <authors>
    <author>lyons</author>
  </authors>
  <commentList>
    <comment ref="A1" authorId="0">
      <text>
        <r>
          <rPr>
            <b/>
            <sz val="12"/>
            <color indexed="81"/>
            <rFont val="Arial"/>
            <family val="2"/>
          </rPr>
          <t>To save any plot on this page, simply copy it and paste it someplace else on this page</t>
        </r>
      </text>
    </comment>
    <comment ref="A2" authorId="0">
      <text>
        <r>
          <rPr>
            <b/>
            <sz val="12"/>
            <color indexed="81"/>
            <rFont val="Arial"/>
            <family val="2"/>
          </rPr>
          <t>To save any plot on this page, simply copy it and paste it someplace else on this page</t>
        </r>
      </text>
    </comment>
    <comment ref="A3" authorId="0">
      <text>
        <r>
          <rPr>
            <b/>
            <sz val="12"/>
            <color indexed="81"/>
            <rFont val="Arial"/>
            <family val="2"/>
          </rPr>
          <t>To save any plot on this page, simply copy it and paste it someplace else on this page</t>
        </r>
      </text>
    </comment>
    <comment ref="A4" authorId="0">
      <text>
        <r>
          <rPr>
            <b/>
            <sz val="12"/>
            <color indexed="81"/>
            <rFont val="Arial"/>
            <family val="2"/>
          </rPr>
          <t>To save any plot on this page, simply copy it and paste it someplace else on this page</t>
        </r>
      </text>
    </comment>
    <comment ref="A5" authorId="0">
      <text>
        <r>
          <rPr>
            <b/>
            <sz val="12"/>
            <color indexed="81"/>
            <rFont val="Arial"/>
            <family val="2"/>
          </rPr>
          <t>To save any plot on this page, simply copy it and paste it someplace else on this page</t>
        </r>
      </text>
    </comment>
    <comment ref="A6" authorId="0">
      <text>
        <r>
          <rPr>
            <b/>
            <sz val="12"/>
            <color indexed="81"/>
            <rFont val="Arial"/>
            <family val="2"/>
          </rPr>
          <t>To save any plot on this page, simply copy it and paste it someplace else on this page</t>
        </r>
      </text>
    </comment>
    <comment ref="A7" authorId="0">
      <text>
        <r>
          <rPr>
            <b/>
            <sz val="12"/>
            <color indexed="81"/>
            <rFont val="Arial"/>
            <family val="2"/>
          </rPr>
          <t>To save any plot on this page, simply copy it and paste it someplace else on this page</t>
        </r>
      </text>
    </comment>
    <comment ref="A8" authorId="0">
      <text>
        <r>
          <rPr>
            <b/>
            <sz val="12"/>
            <color indexed="81"/>
            <rFont val="Arial"/>
            <family val="2"/>
          </rPr>
          <t>To save any plot on this page, simply copy it and paste it someplace else on this page</t>
        </r>
      </text>
    </comment>
    <comment ref="A9" authorId="0">
      <text>
        <r>
          <rPr>
            <b/>
            <sz val="12"/>
            <color indexed="81"/>
            <rFont val="Arial"/>
            <family val="2"/>
          </rPr>
          <t>To save any plot on this page, simply copy it and paste it someplace else on this page</t>
        </r>
      </text>
    </comment>
    <comment ref="A10" authorId="0">
      <text>
        <r>
          <rPr>
            <b/>
            <sz val="12"/>
            <color indexed="81"/>
            <rFont val="Arial"/>
            <family val="2"/>
          </rPr>
          <t>To save any plot on this page, simply copy it and paste it someplace else on this page</t>
        </r>
      </text>
    </comment>
    <comment ref="A11" authorId="0">
      <text>
        <r>
          <rPr>
            <b/>
            <sz val="12"/>
            <color indexed="81"/>
            <rFont val="Arial"/>
            <family val="2"/>
          </rPr>
          <t>To save any plot on this page, simply copy it and paste it someplace else on this page</t>
        </r>
      </text>
    </comment>
    <comment ref="A12" authorId="0">
      <text>
        <r>
          <rPr>
            <b/>
            <sz val="12"/>
            <color indexed="81"/>
            <rFont val="Arial"/>
            <family val="2"/>
          </rPr>
          <t>To save any plot on this page, simply copy it and paste it someplace else on this page</t>
        </r>
      </text>
    </comment>
    <comment ref="A13" authorId="0">
      <text>
        <r>
          <rPr>
            <b/>
            <sz val="12"/>
            <color indexed="81"/>
            <rFont val="Arial"/>
            <family val="2"/>
          </rPr>
          <t>To save any plot on this page, simply copy it and paste it someplace else on this page</t>
        </r>
      </text>
    </comment>
    <comment ref="A14" authorId="0">
      <text>
        <r>
          <rPr>
            <b/>
            <sz val="12"/>
            <color indexed="81"/>
            <rFont val="Arial"/>
            <family val="2"/>
          </rPr>
          <t>To save any plot on this page, simply copy it and paste it someplace else on this page</t>
        </r>
      </text>
    </comment>
    <comment ref="A15" authorId="0">
      <text>
        <r>
          <rPr>
            <b/>
            <sz val="12"/>
            <color indexed="81"/>
            <rFont val="Arial"/>
            <family val="2"/>
          </rPr>
          <t>To save any plot on this page, simply copy it and paste it someplace else on this page</t>
        </r>
      </text>
    </comment>
    <comment ref="A16" authorId="0">
      <text>
        <r>
          <rPr>
            <b/>
            <sz val="12"/>
            <color indexed="81"/>
            <rFont val="Arial"/>
            <family val="2"/>
          </rPr>
          <t>To save any plot on this page, simply copy it and paste it someplace else on this page</t>
        </r>
      </text>
    </comment>
    <comment ref="A17" authorId="0">
      <text>
        <r>
          <rPr>
            <b/>
            <sz val="12"/>
            <color indexed="81"/>
            <rFont val="Arial"/>
            <family val="2"/>
          </rPr>
          <t>To save any plot on this page, simply copy it and paste it someplace else on this page</t>
        </r>
      </text>
    </comment>
    <comment ref="A18" authorId="0">
      <text>
        <r>
          <rPr>
            <b/>
            <sz val="12"/>
            <color indexed="81"/>
            <rFont val="Arial"/>
            <family val="2"/>
          </rPr>
          <t>To save any plot on this page, simply copy it and paste it someplace else on this page</t>
        </r>
      </text>
    </comment>
    <comment ref="A19" authorId="0">
      <text>
        <r>
          <rPr>
            <b/>
            <sz val="12"/>
            <color indexed="81"/>
            <rFont val="Arial"/>
            <family val="2"/>
          </rPr>
          <t>To save any plot on this page, simply copy it and paste it someplace else on this page</t>
        </r>
      </text>
    </comment>
    <comment ref="A20" authorId="0">
      <text>
        <r>
          <rPr>
            <b/>
            <sz val="12"/>
            <color indexed="81"/>
            <rFont val="Arial"/>
            <family val="2"/>
          </rPr>
          <t>To save any plot on this page, simply copy it and paste it someplace else on this page</t>
        </r>
      </text>
    </comment>
    <comment ref="A21" authorId="0">
      <text>
        <r>
          <rPr>
            <b/>
            <sz val="12"/>
            <color indexed="81"/>
            <rFont val="Arial"/>
            <family val="2"/>
          </rPr>
          <t>To save any plot on this page, simply copy it and paste it someplace else on this page</t>
        </r>
      </text>
    </comment>
    <comment ref="A22" authorId="0">
      <text>
        <r>
          <rPr>
            <b/>
            <sz val="12"/>
            <color indexed="81"/>
            <rFont val="Arial"/>
            <family val="2"/>
          </rPr>
          <t>To save any plot on this page, simply copy it and paste it someplace else on this page</t>
        </r>
      </text>
    </comment>
    <comment ref="A23" authorId="0">
      <text>
        <r>
          <rPr>
            <b/>
            <sz val="12"/>
            <color indexed="81"/>
            <rFont val="Arial"/>
            <family val="2"/>
          </rPr>
          <t>To save any plot on this page, simply copy it and paste it someplace else on this page</t>
        </r>
      </text>
    </comment>
    <comment ref="A24" authorId="0">
      <text>
        <r>
          <rPr>
            <b/>
            <sz val="12"/>
            <color indexed="81"/>
            <rFont val="Arial"/>
            <family val="2"/>
          </rPr>
          <t>To save any plot on this page, simply copy it and paste it someplace else on this page</t>
        </r>
      </text>
    </comment>
    <comment ref="A25" authorId="0">
      <text>
        <r>
          <rPr>
            <b/>
            <sz val="12"/>
            <color indexed="81"/>
            <rFont val="Arial"/>
            <family val="2"/>
          </rPr>
          <t>To save any plot on this page, simply copy it and paste it someplace else on this page</t>
        </r>
      </text>
    </comment>
    <comment ref="A26" authorId="0">
      <text>
        <r>
          <rPr>
            <b/>
            <sz val="12"/>
            <color indexed="81"/>
            <rFont val="Arial"/>
            <family val="2"/>
          </rPr>
          <t>To save any plot on this page, simply copy it and paste it someplace else on this page</t>
        </r>
      </text>
    </comment>
    <comment ref="A27" authorId="0">
      <text>
        <r>
          <rPr>
            <b/>
            <sz val="12"/>
            <color indexed="81"/>
            <rFont val="Arial"/>
            <family val="2"/>
          </rPr>
          <t>To save any plot on this page, simply copy it and paste it someplace else on this page</t>
        </r>
      </text>
    </comment>
    <comment ref="A28" authorId="0">
      <text>
        <r>
          <rPr>
            <b/>
            <sz val="12"/>
            <color indexed="81"/>
            <rFont val="Arial"/>
            <family val="2"/>
          </rPr>
          <t>To save any plot on this page, simply copy it and paste it someplace else on this page</t>
        </r>
      </text>
    </comment>
    <comment ref="A29" authorId="0">
      <text>
        <r>
          <rPr>
            <b/>
            <sz val="12"/>
            <color indexed="81"/>
            <rFont val="Arial"/>
            <family val="2"/>
          </rPr>
          <t>To save any plot on this page, simply copy it and paste it someplace else on this page</t>
        </r>
      </text>
    </comment>
    <comment ref="A30" authorId="0">
      <text>
        <r>
          <rPr>
            <b/>
            <sz val="12"/>
            <color indexed="81"/>
            <rFont val="Arial"/>
            <family val="2"/>
          </rPr>
          <t>To save any plot on this page, simply copy it and paste it someplace else on this page</t>
        </r>
      </text>
    </comment>
    <comment ref="A31" authorId="0">
      <text>
        <r>
          <rPr>
            <b/>
            <sz val="12"/>
            <color indexed="81"/>
            <rFont val="Arial"/>
            <family val="2"/>
          </rPr>
          <t>To save any plot on this page, simply copy it and paste it someplace else on this page</t>
        </r>
      </text>
    </comment>
    <comment ref="A32" authorId="0">
      <text>
        <r>
          <rPr>
            <b/>
            <sz val="12"/>
            <color indexed="81"/>
            <rFont val="Arial"/>
            <family val="2"/>
          </rPr>
          <t>To save any plot on this page, simply copy it and paste it someplace else on this page</t>
        </r>
      </text>
    </comment>
    <comment ref="A33" authorId="0">
      <text>
        <r>
          <rPr>
            <b/>
            <sz val="12"/>
            <color indexed="81"/>
            <rFont val="Arial"/>
            <family val="2"/>
          </rPr>
          <t>To save any plot on this page, simply copy it and paste it someplace else on this page</t>
        </r>
      </text>
    </comment>
    <comment ref="A34" authorId="0">
      <text>
        <r>
          <rPr>
            <b/>
            <sz val="12"/>
            <color indexed="81"/>
            <rFont val="Arial"/>
            <family val="2"/>
          </rPr>
          <t>To save any plot on this page, simply copy it and paste it someplace else on this page</t>
        </r>
      </text>
    </comment>
    <comment ref="A35" authorId="0">
      <text>
        <r>
          <rPr>
            <b/>
            <sz val="12"/>
            <color indexed="81"/>
            <rFont val="Arial"/>
            <family val="2"/>
          </rPr>
          <t>To save any plot on this page, simply copy it and paste it someplace else on this page</t>
        </r>
      </text>
    </comment>
    <comment ref="A36" authorId="0">
      <text>
        <r>
          <rPr>
            <b/>
            <sz val="12"/>
            <color indexed="81"/>
            <rFont val="Arial"/>
            <family val="2"/>
          </rPr>
          <t>To save any plot on this page, simply copy it and paste it someplace else on this page</t>
        </r>
      </text>
    </comment>
    <comment ref="A37" authorId="0">
      <text>
        <r>
          <rPr>
            <b/>
            <sz val="12"/>
            <color indexed="81"/>
            <rFont val="Arial"/>
            <family val="2"/>
          </rPr>
          <t>To save any plot on this page, simply copy it and paste it someplace else on this page</t>
        </r>
      </text>
    </comment>
    <comment ref="A38" authorId="0">
      <text>
        <r>
          <rPr>
            <b/>
            <sz val="12"/>
            <color indexed="81"/>
            <rFont val="Arial"/>
            <family val="2"/>
          </rPr>
          <t>To save any plot on this page, simply copy it and paste it someplace else on this page</t>
        </r>
      </text>
    </comment>
    <comment ref="A39" authorId="0">
      <text>
        <r>
          <rPr>
            <b/>
            <sz val="12"/>
            <color indexed="81"/>
            <rFont val="Arial"/>
            <family val="2"/>
          </rPr>
          <t>To save any plot on this page, simply copy it and paste it someplace else on this page</t>
        </r>
      </text>
    </comment>
    <comment ref="A40" authorId="0">
      <text>
        <r>
          <rPr>
            <b/>
            <sz val="12"/>
            <color indexed="81"/>
            <rFont val="Arial"/>
            <family val="2"/>
          </rPr>
          <t>To save any plot on this page, simply copy it and paste it someplace else on this page</t>
        </r>
      </text>
    </comment>
    <comment ref="A41" authorId="0">
      <text>
        <r>
          <rPr>
            <b/>
            <sz val="12"/>
            <color indexed="81"/>
            <rFont val="Arial"/>
            <family val="2"/>
          </rPr>
          <t>To save any plot on this page, simply copy it and paste it someplace else on this page</t>
        </r>
      </text>
    </comment>
    <comment ref="A42" authorId="0">
      <text>
        <r>
          <rPr>
            <b/>
            <sz val="12"/>
            <color indexed="81"/>
            <rFont val="Arial"/>
            <family val="2"/>
          </rPr>
          <t>To save any plot on this page, simply copy it and paste it someplace else on this page</t>
        </r>
      </text>
    </comment>
    <comment ref="A43" authorId="0">
      <text>
        <r>
          <rPr>
            <b/>
            <sz val="12"/>
            <color indexed="81"/>
            <rFont val="Arial"/>
            <family val="2"/>
          </rPr>
          <t>To save any plot on this page, simply copy it and paste it someplace else on this page</t>
        </r>
      </text>
    </comment>
    <comment ref="A44" authorId="0">
      <text>
        <r>
          <rPr>
            <b/>
            <sz val="12"/>
            <color indexed="81"/>
            <rFont val="Arial"/>
            <family val="2"/>
          </rPr>
          <t>To save any plot on this page, simply copy it and paste it someplace else on this page</t>
        </r>
      </text>
    </comment>
    <comment ref="A45" authorId="0">
      <text>
        <r>
          <rPr>
            <b/>
            <sz val="12"/>
            <color indexed="81"/>
            <rFont val="Arial"/>
            <family val="2"/>
          </rPr>
          <t>To save any plot on this page, simply copy it and paste it someplace else on this page</t>
        </r>
      </text>
    </comment>
    <comment ref="A46" authorId="0">
      <text>
        <r>
          <rPr>
            <b/>
            <sz val="12"/>
            <color indexed="81"/>
            <rFont val="Arial"/>
            <family val="2"/>
          </rPr>
          <t>To save any plot on this page, simply copy it and paste it someplace else on this page</t>
        </r>
      </text>
    </comment>
    <comment ref="A47" authorId="0">
      <text>
        <r>
          <rPr>
            <b/>
            <sz val="12"/>
            <color indexed="81"/>
            <rFont val="Arial"/>
            <family val="2"/>
          </rPr>
          <t>To save any plot on this page, simply copy it and paste it someplace else on this page</t>
        </r>
      </text>
    </comment>
    <comment ref="A48" authorId="0">
      <text>
        <r>
          <rPr>
            <b/>
            <sz val="12"/>
            <color indexed="81"/>
            <rFont val="Arial"/>
            <family val="2"/>
          </rPr>
          <t>To save any plot on this page, simply copy it and paste it someplace else on this page</t>
        </r>
      </text>
    </comment>
    <comment ref="A49" authorId="0">
      <text>
        <r>
          <rPr>
            <b/>
            <sz val="12"/>
            <color indexed="81"/>
            <rFont val="Arial"/>
            <family val="2"/>
          </rPr>
          <t>To save any plot on this page, simply copy it and paste it someplace else on this page</t>
        </r>
      </text>
    </comment>
    <comment ref="A50" authorId="0">
      <text>
        <r>
          <rPr>
            <b/>
            <sz val="12"/>
            <color indexed="81"/>
            <rFont val="Arial"/>
            <family val="2"/>
          </rPr>
          <t>To save any plot on this page, simply copy it and paste it someplace else on this page</t>
        </r>
      </text>
    </comment>
  </commentList>
</comments>
</file>

<file path=xl/comments4.xml><?xml version="1.0" encoding="utf-8"?>
<comments xmlns="http://schemas.openxmlformats.org/spreadsheetml/2006/main">
  <authors>
    <author>lyons</author>
  </authors>
  <commentList>
    <comment ref="A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List>
</comments>
</file>

<file path=xl/sharedStrings.xml><?xml version="1.0" encoding="utf-8"?>
<sst xmlns="http://schemas.openxmlformats.org/spreadsheetml/2006/main" count="1023" uniqueCount="641">
  <si>
    <t>Variable Number</t>
  </si>
  <si>
    <t>Variable Name</t>
  </si>
  <si>
    <t>COMMON EXTENSION</t>
  </si>
  <si>
    <t>SET NUMBER</t>
  </si>
  <si>
    <t>EQUATION CONTROL</t>
  </si>
  <si>
    <t>Path</t>
  </si>
  <si>
    <t>Full Filename</t>
  </si>
  <si>
    <t>Number Data Points</t>
  </si>
  <si>
    <t>Number Data Sets</t>
  </si>
  <si>
    <r>
      <t>FILENAME</t>
    </r>
    <r>
      <rPr>
        <b/>
        <sz val="10"/>
        <rFont val="Arial"/>
        <family val="2"/>
      </rPr>
      <t xml:space="preserve"> (Base)</t>
    </r>
  </si>
  <si>
    <t>501H_2_240MW</t>
  </si>
  <si>
    <t>501H-2_230MW</t>
  </si>
  <si>
    <t>501H-2_160MW</t>
  </si>
  <si>
    <t>501H-1_160MW</t>
  </si>
  <si>
    <t>NASC1_24_4Pr_SetA</t>
  </si>
  <si>
    <t>NASC1_24_4Pr_SetB</t>
  </si>
  <si>
    <t>NASC1_22_7Pr_SetA</t>
  </si>
  <si>
    <t>NASC1_22_7Pr_SetB</t>
  </si>
  <si>
    <t>NASTAR</t>
  </si>
  <si>
    <t>GE_E3</t>
  </si>
  <si>
    <t>701G2_130MW_SetA</t>
  </si>
  <si>
    <t>701G2_130MW_SetB</t>
  </si>
  <si>
    <t>V84_3A</t>
  </si>
  <si>
    <t>HSRC_1</t>
  </si>
  <si>
    <t>Symbol Control</t>
  </si>
  <si>
    <t>Line Control</t>
  </si>
  <si>
    <t>The color associated with each color index is shown above</t>
  </si>
  <si>
    <t>Line Color</t>
  </si>
  <si>
    <t>Plot Title</t>
  </si>
  <si>
    <t>K Lyons</t>
  </si>
  <si>
    <t>Increased number of allowable sets of data to 50</t>
  </si>
  <si>
    <t>CURRENTLY 50 SET LIMIT</t>
  </si>
  <si>
    <t>Variable Control</t>
  </si>
  <si>
    <t>Variable Label</t>
  </si>
  <si>
    <t>Axis Label</t>
  </si>
  <si>
    <t>Legend Control</t>
  </si>
  <si>
    <t>Axis Scale - Min</t>
  </si>
  <si>
    <t>Axis Scale - Max</t>
  </si>
  <si>
    <t>Version 1.20</t>
  </si>
  <si>
    <t>Version 1.10</t>
  </si>
  <si>
    <t>Added legend, scale and axis label control</t>
  </si>
  <si>
    <t>Scale - Min</t>
  </si>
  <si>
    <t>Scale - Max</t>
  </si>
  <si>
    <t>Series Name</t>
  </si>
  <si>
    <t>Legend Name of Data Series</t>
  </si>
  <si>
    <t>KEY</t>
  </si>
  <si>
    <t>Informational Cells - DO NOT CHANGE</t>
  </si>
  <si>
    <t>Extended capability from 100 to 256 parameters</t>
  </si>
  <si>
    <t>701F4Kai_Front_6_Mod_A_Map</t>
  </si>
  <si>
    <t>701F4Kai_Front_6_Mod_B_Map</t>
  </si>
  <si>
    <t>701F4Kai_Front_6_Mod_C_Map</t>
  </si>
  <si>
    <t>701F4Kai_Front_6_Mod_D_Map</t>
  </si>
  <si>
    <t>701F4Kai_Front_6_Mod_E_Map</t>
  </si>
  <si>
    <t>701F4Kai_Front_6_Mod_F_Map</t>
  </si>
  <si>
    <t>701F4Kai_Front_6_Mod_G_Map</t>
  </si>
  <si>
    <t>701F4Kai_Front_6_Mod_H_Map</t>
  </si>
  <si>
    <t>701F3_Front_6_Baseline_Map</t>
  </si>
  <si>
    <t>L20A_F5_Base</t>
  </si>
  <si>
    <t>L20A_F5_Mod_A</t>
  </si>
  <si>
    <t>L20A_F5_Mod_B</t>
  </si>
  <si>
    <t>L20A_F5_Mod_C</t>
  </si>
  <si>
    <t>L20A_F5_Mod_D</t>
  </si>
  <si>
    <t>Version 1.30</t>
  </si>
  <si>
    <t>Version 1.31</t>
  </si>
  <si>
    <t>Fixed various errors when bringing in different number of data sets</t>
  </si>
  <si>
    <t>Data Set Choice</t>
  </si>
  <si>
    <t>ALL</t>
  </si>
  <si>
    <t>Version 1.32</t>
  </si>
  <si>
    <t>Added ability to have 10 possible set selection combinations chosen on Control sheet (originally entered by hand to change), no can have pre-set values</t>
  </si>
  <si>
    <t>Number Variables</t>
  </si>
  <si>
    <t>Version 2.00</t>
  </si>
  <si>
    <t>Major rewrite of plotting and storage scheme - allows 9 different plots simultaneously, plus ability to save desired plots</t>
  </si>
  <si>
    <t>Added the ability to create a 'Set Number' variable - see the Equation Control comment on the Control sheet</t>
  </si>
  <si>
    <t>1    (Column A)</t>
  </si>
  <si>
    <t>2    (Column B)</t>
  </si>
  <si>
    <t>3    (Column C)</t>
  </si>
  <si>
    <t>4    (Column D)</t>
  </si>
  <si>
    <t>5    (Column E)</t>
  </si>
  <si>
    <t>6    (Column F)</t>
  </si>
  <si>
    <t>7    (Column G)</t>
  </si>
  <si>
    <t>8    (Column H)</t>
  </si>
  <si>
    <t>9    (Column I)</t>
  </si>
  <si>
    <t>10    (Column J)</t>
  </si>
  <si>
    <t>11    (Column K)</t>
  </si>
  <si>
    <t>12    (Column L)</t>
  </si>
  <si>
    <t>13    (Column M)</t>
  </si>
  <si>
    <t>14    (Column N)</t>
  </si>
  <si>
    <t>15    (Column O)</t>
  </si>
  <si>
    <t>16    (Column P)</t>
  </si>
  <si>
    <t>17    (Column Q)</t>
  </si>
  <si>
    <t>18    (Column R)</t>
  </si>
  <si>
    <t>19    (Column S)</t>
  </si>
  <si>
    <t>20    (Column T)</t>
  </si>
  <si>
    <t>21    (Column U)</t>
  </si>
  <si>
    <t>22    (Column V)</t>
  </si>
  <si>
    <t>23    (Column W)</t>
  </si>
  <si>
    <t>24    (Column X)</t>
  </si>
  <si>
    <t>25    (Column Y)</t>
  </si>
  <si>
    <t>26    (Column Z)</t>
  </si>
  <si>
    <t>27    (Column AA)</t>
  </si>
  <si>
    <t>28    (Column AB)</t>
  </si>
  <si>
    <t>29    (Column AC)</t>
  </si>
  <si>
    <t>30    (Column AD)</t>
  </si>
  <si>
    <t>31    (Column AE)</t>
  </si>
  <si>
    <t>32    (Column AF)</t>
  </si>
  <si>
    <t>33    (Column AG)</t>
  </si>
  <si>
    <t>34    (Column AH)</t>
  </si>
  <si>
    <t>35    (Column AI)</t>
  </si>
  <si>
    <t>36    (Column AJ)</t>
  </si>
  <si>
    <t>37    (Column AK)</t>
  </si>
  <si>
    <t>38    (Column AL)</t>
  </si>
  <si>
    <t>39    (Column AM)</t>
  </si>
  <si>
    <t>40    (Column AN)</t>
  </si>
  <si>
    <t>41    (Column AO)</t>
  </si>
  <si>
    <t>42    (Column AP)</t>
  </si>
  <si>
    <t>43    (Column AQ)</t>
  </si>
  <si>
    <t>44    (Column AR)</t>
  </si>
  <si>
    <t>45    (Column AS)</t>
  </si>
  <si>
    <t>46    (Column AT)</t>
  </si>
  <si>
    <t>47    (Column AU)</t>
  </si>
  <si>
    <t>48    (Column AV)</t>
  </si>
  <si>
    <t>49    (Column AW)</t>
  </si>
  <si>
    <t>50    (Column AX)</t>
  </si>
  <si>
    <t>51    (Column AY)</t>
  </si>
  <si>
    <t>52    (Column AZ)</t>
  </si>
  <si>
    <t>53    (Column BA)</t>
  </si>
  <si>
    <t>54    (Column BB)</t>
  </si>
  <si>
    <t>55    (Column BC)</t>
  </si>
  <si>
    <t>56    (Column BD)</t>
  </si>
  <si>
    <t>57    (Column BE)</t>
  </si>
  <si>
    <t>58    (Column BF)</t>
  </si>
  <si>
    <t>59    (Column BG)</t>
  </si>
  <si>
    <t>60    (Column BH)</t>
  </si>
  <si>
    <t>61    (Column BI)</t>
  </si>
  <si>
    <t>62    (Column BJ)</t>
  </si>
  <si>
    <t>63    (Column BK)</t>
  </si>
  <si>
    <t>64    (Column BL)</t>
  </si>
  <si>
    <t>65    (Column BM)</t>
  </si>
  <si>
    <t>66    (Column BN)</t>
  </si>
  <si>
    <t>67    (Column BO)</t>
  </si>
  <si>
    <t>68    (Column BP)</t>
  </si>
  <si>
    <t>69    (Column BQ)</t>
  </si>
  <si>
    <t>70    (Column BR)</t>
  </si>
  <si>
    <t>71    (Column BS)</t>
  </si>
  <si>
    <t>72    (Column BT)</t>
  </si>
  <si>
    <t>73    (Column BU)</t>
  </si>
  <si>
    <t>74    (Column BV)</t>
  </si>
  <si>
    <t>75    (Column BW)</t>
  </si>
  <si>
    <t>76    (Column BX)</t>
  </si>
  <si>
    <t>77    (Column BY)</t>
  </si>
  <si>
    <t>78    (Column BZ)</t>
  </si>
  <si>
    <t>79    (Column CA)</t>
  </si>
  <si>
    <t>80    (Column CB)</t>
  </si>
  <si>
    <t>81    (Column CC)</t>
  </si>
  <si>
    <t>82    (Column CD)</t>
  </si>
  <si>
    <t>83    (Column CE)</t>
  </si>
  <si>
    <t>84    (Column CF)</t>
  </si>
  <si>
    <t>85    (Column CG)</t>
  </si>
  <si>
    <t>86    (Column CH)</t>
  </si>
  <si>
    <t>87    (Column CI)</t>
  </si>
  <si>
    <t>88    (Column CJ)</t>
  </si>
  <si>
    <t>89    (Column CK)</t>
  </si>
  <si>
    <t>90    (Column CL)</t>
  </si>
  <si>
    <t>91    (Column CM)</t>
  </si>
  <si>
    <t>92    (Column CN)</t>
  </si>
  <si>
    <t>93    (Column CO)</t>
  </si>
  <si>
    <t>94    (Column CP)</t>
  </si>
  <si>
    <t>95    (Column CQ)</t>
  </si>
  <si>
    <t>96    (Column CR)</t>
  </si>
  <si>
    <t>97    (Column CS)</t>
  </si>
  <si>
    <t>98    (Column CT)</t>
  </si>
  <si>
    <t>99    (Column CU)</t>
  </si>
  <si>
    <t>100    (Column CV)</t>
  </si>
  <si>
    <t>101    (Column CW)</t>
  </si>
  <si>
    <t>102    (Column CX)</t>
  </si>
  <si>
    <t>103    (Column CY)</t>
  </si>
  <si>
    <t>104    (Column CZ)</t>
  </si>
  <si>
    <t>105    (Column DA)</t>
  </si>
  <si>
    <t>106    (Column DB)</t>
  </si>
  <si>
    <t>107    (Column DC)</t>
  </si>
  <si>
    <t>108    (Column DD)</t>
  </si>
  <si>
    <t>109    (Column DE)</t>
  </si>
  <si>
    <t>110    (Column DF)</t>
  </si>
  <si>
    <t>111    (Column DG)</t>
  </si>
  <si>
    <t>112    (Column DH)</t>
  </si>
  <si>
    <t>113    (Column DI)</t>
  </si>
  <si>
    <t>114    (Column DJ)</t>
  </si>
  <si>
    <t>115    (Column DK)</t>
  </si>
  <si>
    <t>116    (Column DL)</t>
  </si>
  <si>
    <t>117    (Column DM)</t>
  </si>
  <si>
    <t>118    (Column DN)</t>
  </si>
  <si>
    <t>119    (Column DO)</t>
  </si>
  <si>
    <t>120    (Column DP)</t>
  </si>
  <si>
    <t>121    (Column DQ)</t>
  </si>
  <si>
    <t>122    (Column DR)</t>
  </si>
  <si>
    <t>123    (Column DS)</t>
  </si>
  <si>
    <t>124    (Column DT)</t>
  </si>
  <si>
    <t>125    (Column DU)</t>
  </si>
  <si>
    <t>126    (Column DV)</t>
  </si>
  <si>
    <t>127    (Column DW)</t>
  </si>
  <si>
    <t>128    (Column DX)</t>
  </si>
  <si>
    <t>129    (Column DY)</t>
  </si>
  <si>
    <t>130    (Column DZ)</t>
  </si>
  <si>
    <t>131    (Column EA)</t>
  </si>
  <si>
    <t>132    (Column EB)</t>
  </si>
  <si>
    <t>133    (Column EC)</t>
  </si>
  <si>
    <t>134    (Column ED)</t>
  </si>
  <si>
    <t>135    (Column EE)</t>
  </si>
  <si>
    <t>136    (Column EF)</t>
  </si>
  <si>
    <t>137    (Column EG)</t>
  </si>
  <si>
    <t>138    (Column EH)</t>
  </si>
  <si>
    <t>139    (Column EI)</t>
  </si>
  <si>
    <t>140    (Column EJ)</t>
  </si>
  <si>
    <t>141    (Column EK)</t>
  </si>
  <si>
    <t>142    (Column EL)</t>
  </si>
  <si>
    <t>143    (Column EM)</t>
  </si>
  <si>
    <t>144    (Column EN)</t>
  </si>
  <si>
    <t>145    (Column EO)</t>
  </si>
  <si>
    <t>146    (Column EP)</t>
  </si>
  <si>
    <t>147    (Column EQ)</t>
  </si>
  <si>
    <t>148    (Column ER)</t>
  </si>
  <si>
    <t>149    (Column ES)</t>
  </si>
  <si>
    <t>150    (Column ET)</t>
  </si>
  <si>
    <t>151    (Column EU)</t>
  </si>
  <si>
    <t>152    (Column EV)</t>
  </si>
  <si>
    <t>153    (Column EW)</t>
  </si>
  <si>
    <t>154    (Column EX)</t>
  </si>
  <si>
    <t>155    (Column EY)</t>
  </si>
  <si>
    <t>156    (Column EZ)</t>
  </si>
  <si>
    <t>157    (Column FA)</t>
  </si>
  <si>
    <t>158    (Column FB)</t>
  </si>
  <si>
    <t>159    (Column FC)</t>
  </si>
  <si>
    <t>160    (Column FD)</t>
  </si>
  <si>
    <t>161    (Column FE)</t>
  </si>
  <si>
    <t>162    (Column FF)</t>
  </si>
  <si>
    <t>163    (Column FG)</t>
  </si>
  <si>
    <t>164    (Column FH)</t>
  </si>
  <si>
    <t>165    (Column FI)</t>
  </si>
  <si>
    <t>166    (Column FJ)</t>
  </si>
  <si>
    <t>167    (Column FK)</t>
  </si>
  <si>
    <t>168    (Column FL)</t>
  </si>
  <si>
    <t>169    (Column FM)</t>
  </si>
  <si>
    <t>170    (Column FN)</t>
  </si>
  <si>
    <t>171    (Column FO)</t>
  </si>
  <si>
    <t>172    (Column FP)</t>
  </si>
  <si>
    <t>173    (Column FQ)</t>
  </si>
  <si>
    <t>174    (Column FR)</t>
  </si>
  <si>
    <t>175    (Column FS)</t>
  </si>
  <si>
    <t>176    (Column FT)</t>
  </si>
  <si>
    <t>177    (Column FU)</t>
  </si>
  <si>
    <t>178    (Column FV)</t>
  </si>
  <si>
    <t>179    (Column FW)</t>
  </si>
  <si>
    <t>180    (Column FX)</t>
  </si>
  <si>
    <t>181    (Column FY)</t>
  </si>
  <si>
    <t>182    (Column FZ)</t>
  </si>
  <si>
    <t>183    (Column GA)</t>
  </si>
  <si>
    <t>184    (Column GB)</t>
  </si>
  <si>
    <t>185    (Column GC)</t>
  </si>
  <si>
    <t>186    (Column GD)</t>
  </si>
  <si>
    <t>187    (Column GE)</t>
  </si>
  <si>
    <t>188    (Column GF)</t>
  </si>
  <si>
    <t>189    (Column GG)</t>
  </si>
  <si>
    <t>190    (Column GH)</t>
  </si>
  <si>
    <t>191    (Column GI)</t>
  </si>
  <si>
    <t>192    (Column GJ)</t>
  </si>
  <si>
    <t>193    (Column GK)</t>
  </si>
  <si>
    <t>194    (Column GL)</t>
  </si>
  <si>
    <t>195    (Column GM)</t>
  </si>
  <si>
    <t>196    (Column GN)</t>
  </si>
  <si>
    <t>197    (Column GO)</t>
  </si>
  <si>
    <t>198    (Column GP)</t>
  </si>
  <si>
    <t>199    (Column GQ)</t>
  </si>
  <si>
    <t>200    (Column GR)</t>
  </si>
  <si>
    <t>201    (Column GS)</t>
  </si>
  <si>
    <t>202    (Column GT)</t>
  </si>
  <si>
    <t>203    (Column GU)</t>
  </si>
  <si>
    <t>204    (Column GV)</t>
  </si>
  <si>
    <t>205    (Column GW)</t>
  </si>
  <si>
    <t>206    (Column GX)</t>
  </si>
  <si>
    <t>207    (Column GY)</t>
  </si>
  <si>
    <t>208    (Column GZ)</t>
  </si>
  <si>
    <t>209    (Column HA)</t>
  </si>
  <si>
    <t>210    (Column HB)</t>
  </si>
  <si>
    <t>211    (Column HC)</t>
  </si>
  <si>
    <t>212    (Column HD)</t>
  </si>
  <si>
    <t>213    (Column HE)</t>
  </si>
  <si>
    <t>214    (Column HF)</t>
  </si>
  <si>
    <t>215    (Column HG)</t>
  </si>
  <si>
    <t>216    (Column HH)</t>
  </si>
  <si>
    <t>217    (Column HI)</t>
  </si>
  <si>
    <t>218    (Column HJ)</t>
  </si>
  <si>
    <t>219    (Column HK)</t>
  </si>
  <si>
    <t>220    (Column HL)</t>
  </si>
  <si>
    <t>221    (Column HM)</t>
  </si>
  <si>
    <t>222    (Column HN)</t>
  </si>
  <si>
    <t>223    (Column HO)</t>
  </si>
  <si>
    <t>224    (Column HP)</t>
  </si>
  <si>
    <t>225    (Column HQ)</t>
  </si>
  <si>
    <t>226    (Column HR)</t>
  </si>
  <si>
    <t>227    (Column HS)</t>
  </si>
  <si>
    <t>228    (Column HT)</t>
  </si>
  <si>
    <t>229    (Column HU)</t>
  </si>
  <si>
    <t>230    (Column HV)</t>
  </si>
  <si>
    <t>231    (Column HW)</t>
  </si>
  <si>
    <t>232    (Column HX)</t>
  </si>
  <si>
    <t>233    (Column HY)</t>
  </si>
  <si>
    <t>234    (Column HZ)</t>
  </si>
  <si>
    <t>235    (Column IA)</t>
  </si>
  <si>
    <t>236    (Column IB)</t>
  </si>
  <si>
    <t>237    (Column IC)</t>
  </si>
  <si>
    <t>238    (Column ID)</t>
  </si>
  <si>
    <t>239    (Column IE)</t>
  </si>
  <si>
    <t>240    (Column IF)</t>
  </si>
  <si>
    <t>241    (Column IG)</t>
  </si>
  <si>
    <t>242    (Column IH)</t>
  </si>
  <si>
    <t>243    (Column II)</t>
  </si>
  <si>
    <t>244    (Column IJ)</t>
  </si>
  <si>
    <t>245    (Column IK)</t>
  </si>
  <si>
    <t>246    (Column IL)</t>
  </si>
  <si>
    <t>247    (Column IM)</t>
  </si>
  <si>
    <t>248    (Column IN)</t>
  </si>
  <si>
    <t>249    (Column IO)</t>
  </si>
  <si>
    <t>250    (Column IP)</t>
  </si>
  <si>
    <t>251    (Column IQ)</t>
  </si>
  <si>
    <t>252    (Column IR)</t>
  </si>
  <si>
    <t>253    (Column IS)</t>
  </si>
  <si>
    <t>254    (Column IT)</t>
  </si>
  <si>
    <t>255    (Column IU)</t>
  </si>
  <si>
    <t>256    (Column IV)</t>
  </si>
  <si>
    <t>X Parameter</t>
  </si>
  <si>
    <t>Y Parameter</t>
  </si>
  <si>
    <t>Symbol Type</t>
  </si>
  <si>
    <t>Symbol Foreground Color</t>
  </si>
  <si>
    <t>Symbol Background Color</t>
  </si>
  <si>
    <t>Symbol Size</t>
  </si>
  <si>
    <t>Line Type</t>
  </si>
  <si>
    <t>Line Weight</t>
  </si>
  <si>
    <t>Added the ability to control whether the Legend appears on a given plot</t>
  </si>
  <si>
    <t>Macro references to various sheets changed from 'hard wired' to keying off specific labels on the sheets, thus should be able to modify CONTROL and PLOT LAYOUT sheets without having to change addresses in macros</t>
  </si>
  <si>
    <t>Added ability to save equations, then restore them when new data is brought in</t>
  </si>
  <si>
    <t xml:space="preserve">Added column labels (in addition to variable numbers) to list of variable on Control sheet </t>
  </si>
  <si>
    <t>Version 2.10</t>
  </si>
  <si>
    <t>Version 2.2</t>
  </si>
  <si>
    <t>Added capability to add date, time, author to plot</t>
  </si>
  <si>
    <t>Added capability to add variable numbers to plot</t>
  </si>
  <si>
    <t>Added capability to copy multiple equations rather than just one</t>
  </si>
  <si>
    <t>Added cross plot data page (has only one value from each data set for each variable - point number can be specified)</t>
  </si>
  <si>
    <t>Added abillity to control plot title for every plot</t>
  </si>
  <si>
    <t>WISH LIST</t>
  </si>
  <si>
    <t>Added abillity to control axis crossing value</t>
  </si>
  <si>
    <t>Added capability to display user defined lines on plots</t>
  </si>
  <si>
    <t>Fixed problem in counting number of data points in a set</t>
  </si>
  <si>
    <t>Variables</t>
  </si>
  <si>
    <t>File Control</t>
  </si>
  <si>
    <t>Cells The User Can Change</t>
  </si>
  <si>
    <t>Individual Plot Control</t>
  </si>
  <si>
    <t>Overall Plot Control</t>
  </si>
  <si>
    <t>H Spacing</t>
  </si>
  <si>
    <t>V Spacing</t>
  </si>
  <si>
    <t>Plot Height</t>
  </si>
  <si>
    <t>Plot Width</t>
  </si>
  <si>
    <t>Size - Axis Numbers</t>
  </si>
  <si>
    <t>Size - Font Legend</t>
  </si>
  <si>
    <t>Size - Plot Title</t>
  </si>
  <si>
    <t>Cross Plot (1-On)</t>
  </si>
  <si>
    <t>Author Opt</t>
  </si>
  <si>
    <t>Author Name</t>
  </si>
  <si>
    <t>Date Opt</t>
  </si>
  <si>
    <t>Var Num Opt</t>
  </si>
  <si>
    <t>Cross Plot Control</t>
  </si>
  <si>
    <t>Data Point Number</t>
  </si>
  <si>
    <t>Cells used by macro - DO NOT CHANGE</t>
  </si>
  <si>
    <t>Allowed plot height, width &amp; spacing to be specified</t>
  </si>
  <si>
    <t>Legend (1-On)</t>
  </si>
  <si>
    <t>Added capability to add trendlines to cross plots</t>
  </si>
  <si>
    <r>
      <t>FILENAME</t>
    </r>
    <r>
      <rPr>
        <b/>
        <sz val="10"/>
        <color indexed="12"/>
        <rFont val="Arial"/>
        <family val="2"/>
      </rPr>
      <t xml:space="preserve"> (Base)</t>
    </r>
  </si>
  <si>
    <r>
      <t>Active?</t>
    </r>
    <r>
      <rPr>
        <b/>
        <sz val="10"/>
        <color indexed="12"/>
        <rFont val="Arial"/>
        <family val="2"/>
      </rPr>
      <t xml:space="preserve"> (0-no 1-yes)</t>
    </r>
  </si>
  <si>
    <t>Names used by macro - DO NOT CHANGE</t>
  </si>
  <si>
    <r>
      <t xml:space="preserve">Plot </t>
    </r>
    <r>
      <rPr>
        <b/>
        <sz val="14"/>
        <color indexed="10"/>
        <rFont val="Arial"/>
        <family val="2"/>
      </rPr>
      <t>1</t>
    </r>
    <r>
      <rPr>
        <b/>
        <sz val="14"/>
        <rFont val="Arial"/>
        <family val="2"/>
      </rPr>
      <t xml:space="preserve">     Variable Numbers</t>
    </r>
  </si>
  <si>
    <r>
      <t xml:space="preserve">Plot </t>
    </r>
    <r>
      <rPr>
        <b/>
        <sz val="14"/>
        <color indexed="10"/>
        <rFont val="Arial"/>
        <family val="2"/>
      </rPr>
      <t>2</t>
    </r>
    <r>
      <rPr>
        <b/>
        <sz val="14"/>
        <rFont val="Arial"/>
        <family val="2"/>
      </rPr>
      <t xml:space="preserve">     Variable Numbers</t>
    </r>
  </si>
  <si>
    <r>
      <t xml:space="preserve">Plot </t>
    </r>
    <r>
      <rPr>
        <b/>
        <sz val="14"/>
        <color indexed="10"/>
        <rFont val="Arial"/>
        <family val="2"/>
      </rPr>
      <t>3</t>
    </r>
    <r>
      <rPr>
        <b/>
        <sz val="14"/>
        <rFont val="Arial"/>
        <family val="2"/>
      </rPr>
      <t xml:space="preserve">     Variable Numbers</t>
    </r>
  </si>
  <si>
    <r>
      <t xml:space="preserve">Plot </t>
    </r>
    <r>
      <rPr>
        <b/>
        <sz val="14"/>
        <color indexed="10"/>
        <rFont val="Arial"/>
        <family val="2"/>
      </rPr>
      <t>4</t>
    </r>
    <r>
      <rPr>
        <b/>
        <sz val="14"/>
        <rFont val="Arial"/>
        <family val="2"/>
      </rPr>
      <t xml:space="preserve">     Variable Numbers</t>
    </r>
  </si>
  <si>
    <r>
      <t xml:space="preserve">Plot </t>
    </r>
    <r>
      <rPr>
        <b/>
        <sz val="14"/>
        <color indexed="10"/>
        <rFont val="Arial"/>
        <family val="2"/>
      </rPr>
      <t>5</t>
    </r>
    <r>
      <rPr>
        <b/>
        <sz val="14"/>
        <rFont val="Arial"/>
        <family val="2"/>
      </rPr>
      <t xml:space="preserve">     Variable Numbers</t>
    </r>
  </si>
  <si>
    <r>
      <t xml:space="preserve">Plot </t>
    </r>
    <r>
      <rPr>
        <b/>
        <sz val="14"/>
        <color indexed="10"/>
        <rFont val="Arial"/>
        <family val="2"/>
      </rPr>
      <t>7</t>
    </r>
    <r>
      <rPr>
        <b/>
        <sz val="14"/>
        <rFont val="Arial"/>
        <family val="2"/>
      </rPr>
      <t xml:space="preserve">     Variable Numbers</t>
    </r>
  </si>
  <si>
    <r>
      <t xml:space="preserve">Plot </t>
    </r>
    <r>
      <rPr>
        <b/>
        <sz val="14"/>
        <color indexed="10"/>
        <rFont val="Arial"/>
        <family val="2"/>
      </rPr>
      <t>6</t>
    </r>
    <r>
      <rPr>
        <b/>
        <sz val="14"/>
        <rFont val="Arial"/>
        <family val="2"/>
      </rPr>
      <t xml:space="preserve">     Variable Numbers</t>
    </r>
  </si>
  <si>
    <r>
      <t xml:space="preserve">Plot </t>
    </r>
    <r>
      <rPr>
        <b/>
        <sz val="14"/>
        <color indexed="10"/>
        <rFont val="Arial"/>
        <family val="2"/>
      </rPr>
      <t>8</t>
    </r>
    <r>
      <rPr>
        <b/>
        <sz val="14"/>
        <rFont val="Arial"/>
        <family val="2"/>
      </rPr>
      <t xml:space="preserve">     Variable Numbers</t>
    </r>
  </si>
  <si>
    <r>
      <t xml:space="preserve">Plot </t>
    </r>
    <r>
      <rPr>
        <b/>
        <sz val="14"/>
        <color indexed="10"/>
        <rFont val="Arial"/>
        <family val="2"/>
      </rPr>
      <t>9</t>
    </r>
    <r>
      <rPr>
        <b/>
        <sz val="14"/>
        <rFont val="Arial"/>
        <family val="2"/>
      </rPr>
      <t xml:space="preserve">     Variable Numbers</t>
    </r>
  </si>
  <si>
    <t>X Plot Trend Line</t>
  </si>
  <si>
    <t>"=1-INDIRECT("E"&amp;MAX(A$2:A$100)-2)/INDIRECT("C"&amp;MAX(A$2:A$100)-2)</t>
  </si>
  <si>
    <t>Version 2.X</t>
  </si>
  <si>
    <t>Added font size control to plots (axis labels, axes, plot title and legend)</t>
  </si>
  <si>
    <t>Version 2.3</t>
  </si>
  <si>
    <t>Fixed problem with large number of data points (Cint only handles 32768)</t>
  </si>
  <si>
    <t>Fixed problem that if Get Data failed for some reason, "Cross Plot" sheet was not created, which failed next run</t>
  </si>
  <si>
    <t>Fixed some speed problems with large data sets (only saved 1st two lines from Data 1 to Equation Storage, turned autocalc off some more places)</t>
  </si>
  <si>
    <t>Version 2.31</t>
  </si>
  <si>
    <t>Version 2.4</t>
  </si>
  <si>
    <t>Implemented selection ability</t>
  </si>
  <si>
    <t>Greater Than</t>
  </si>
  <si>
    <t>Less Than</t>
  </si>
  <si>
    <t xml:space="preserve">OR </t>
  </si>
  <si>
    <t>AND</t>
  </si>
  <si>
    <t>Selection Parm</t>
  </si>
  <si>
    <t>SELECTION CONTROL</t>
  </si>
  <si>
    <t>Version 2.32</t>
  </si>
  <si>
    <t>Added capability to not evaluate equations for blank lines in data set</t>
  </si>
  <si>
    <t>Version 2.33</t>
  </si>
  <si>
    <t>Fixed problem with non-existant files failing code</t>
  </si>
  <si>
    <t>Version 2.41</t>
  </si>
  <si>
    <t>Picked up the V2.32 &amp; 2.33 changes that got left out of V2.4 - oops</t>
  </si>
  <si>
    <t>.csv</t>
  </si>
  <si>
    <t>Blank Column</t>
  </si>
  <si>
    <t>B</t>
  </si>
  <si>
    <t>Version 2.42</t>
  </si>
  <si>
    <t>Finished picking up the V2.32 &amp; 2.33 changes that got left out of V2.4 - oops</t>
  </si>
  <si>
    <t>Beta1</t>
  </si>
  <si>
    <t>Solidity</t>
  </si>
  <si>
    <t>ID</t>
  </si>
  <si>
    <t>TER/Chord</t>
  </si>
  <si>
    <t>Tmax/C</t>
  </si>
  <si>
    <t>65_Camber</t>
  </si>
  <si>
    <t>Camber_MCL</t>
  </si>
  <si>
    <t>LE_Wedge_Angle</t>
  </si>
  <si>
    <t>Ave_Min_Loss</t>
  </si>
  <si>
    <t>65-810</t>
  </si>
  <si>
    <t>65-(12)10</t>
  </si>
  <si>
    <t>65-(15)10</t>
  </si>
  <si>
    <t>65-(18)10</t>
  </si>
  <si>
    <t>65-(21)10</t>
  </si>
  <si>
    <t>65-(24)10</t>
  </si>
  <si>
    <t>65-(12)06</t>
  </si>
  <si>
    <t>65-(12)08</t>
  </si>
  <si>
    <t>65-(12)12</t>
  </si>
  <si>
    <t>65-(12)15</t>
  </si>
  <si>
    <t>20</t>
  </si>
  <si>
    <t>40</t>
  </si>
  <si>
    <t>1</t>
  </si>
  <si>
    <t>3</t>
  </si>
  <si>
    <t>TE_Wedge_Angle</t>
  </si>
  <si>
    <t>LER/Chord</t>
  </si>
  <si>
    <t>MCL B1*-AlphaChord</t>
  </si>
  <si>
    <t>O_q_Tau</t>
  </si>
  <si>
    <t>TE_O_q_Min_O</t>
  </si>
  <si>
    <t>Attack_Angle</t>
  </si>
  <si>
    <t>Turning</t>
  </si>
  <si>
    <t>65-406 1% TER</t>
  </si>
  <si>
    <t>65-806 1% TER</t>
  </si>
  <si>
    <t>65-(12)06 1% TER</t>
  </si>
  <si>
    <t>65-(12)10 1% TER</t>
  </si>
  <si>
    <t>65-(12)10 2% TER</t>
  </si>
  <si>
    <t>Chord Angle</t>
  </si>
  <si>
    <t>Beta 2</t>
  </si>
  <si>
    <t>Beta1* MCL CA Equiv</t>
  </si>
  <si>
    <t>Beta2* MCL CA Equiv</t>
  </si>
  <si>
    <t>Beta1* SS CA Equiv</t>
  </si>
  <si>
    <t>Beta1* PS CA Equiv</t>
  </si>
  <si>
    <t>Beta2* SS CA Equiv</t>
  </si>
  <si>
    <t>Beta2* PS CA Equiv</t>
  </si>
  <si>
    <t>Inc MCL CA Equiv</t>
  </si>
  <si>
    <t>Inc SS CA Equiv</t>
  </si>
  <si>
    <t>Inc PS CA Equiv</t>
  </si>
  <si>
    <t>Dev MCL CA Equiv</t>
  </si>
  <si>
    <t>Dev SS CA Equiv</t>
  </si>
  <si>
    <t>Dev PS CA Equiv</t>
  </si>
  <si>
    <t>Covered Chord Frac</t>
  </si>
  <si>
    <t>Uncovered Chord Frac</t>
  </si>
  <si>
    <t>Cone Angle (Covered)</t>
  </si>
  <si>
    <t>L/D (Covered)</t>
  </si>
  <si>
    <t>CosB1/CosB2*MCL</t>
  </si>
  <si>
    <t>CosB1/CosB2*SS</t>
  </si>
  <si>
    <t>CosB1/CosB2*PS</t>
  </si>
  <si>
    <t>CosB1/CosB2</t>
  </si>
  <si>
    <t>Rad to Deg</t>
  </si>
  <si>
    <t>SinB1-SinB2*SS * Cos Ratio</t>
  </si>
  <si>
    <t>SinB1-SinB2*MCL * Cos Ratio</t>
  </si>
  <si>
    <t>SinB1-SinB2*PS * Cos Ratio</t>
  </si>
  <si>
    <t>SinB1-SinB2 * Cos Ratio</t>
  </si>
  <si>
    <t>D-fac B2*MCL</t>
  </si>
  <si>
    <t>D-fac B2*SS</t>
  </si>
  <si>
    <t>D-fac B2*PS</t>
  </si>
  <si>
    <t>D-fac B2</t>
  </si>
  <si>
    <t>Cp B2*MCL</t>
  </si>
  <si>
    <t>Cp B2*SS</t>
  </si>
  <si>
    <t>Cp B2*PS</t>
  </si>
  <si>
    <t>Cp B2</t>
  </si>
  <si>
    <t>1.7</t>
  </si>
  <si>
    <t>.03</t>
  </si>
  <si>
    <t>Beta1_30</t>
  </si>
  <si>
    <t>Beta1_45</t>
  </si>
  <si>
    <t>Beta1_60</t>
  </si>
  <si>
    <t>Beta1_70</t>
  </si>
  <si>
    <t>Tmax_06</t>
  </si>
  <si>
    <t>Tmax_08</t>
  </si>
  <si>
    <t>Tmax_10</t>
  </si>
  <si>
    <t>Tmax_12</t>
  </si>
  <si>
    <t>Tmax_15</t>
  </si>
  <si>
    <t>Solidity_0.75</t>
  </si>
  <si>
    <t>Solidity_1.00</t>
  </si>
  <si>
    <t>Solidity_1.25</t>
  </si>
  <si>
    <t>Solidity_1.50</t>
  </si>
  <si>
    <t>Solidity_2.00</t>
  </si>
  <si>
    <t>Beta 1</t>
  </si>
  <si>
    <t>Tmax</t>
  </si>
  <si>
    <t xml:space="preserve"> </t>
  </si>
  <si>
    <t>.9</t>
  </si>
  <si>
    <t>Camber SS (Equiv CA)</t>
  </si>
  <si>
    <t>Camber PS (Equiv CA)</t>
  </si>
  <si>
    <t>Combined</t>
  </si>
  <si>
    <t>Comb + Tmax</t>
  </si>
  <si>
    <t>Solidity_0.50</t>
  </si>
  <si>
    <t>65-410</t>
  </si>
  <si>
    <t>LER/Tmax</t>
  </si>
  <si>
    <t>TER/Tmax</t>
  </si>
  <si>
    <t>.2</t>
  </si>
  <si>
    <t>.11</t>
  </si>
  <si>
    <t>65-006 1% TER</t>
  </si>
  <si>
    <t>Stall Incidence</t>
  </si>
  <si>
    <t>1.5</t>
  </si>
  <si>
    <t>1.2</t>
  </si>
  <si>
    <t>1.3</t>
  </si>
  <si>
    <t>1.1</t>
  </si>
  <si>
    <t>10</t>
  </si>
  <si>
    <t>35</t>
  </si>
  <si>
    <t>Inc 1/2 SS (CA Equiv)</t>
  </si>
  <si>
    <t>15</t>
  </si>
  <si>
    <t>Uncovered SS Camber</t>
  </si>
  <si>
    <t>Covered SS Camber</t>
  </si>
  <si>
    <t>O_TE / Tau</t>
  </si>
  <si>
    <t>Unlimited Uncovered Chord</t>
  </si>
  <si>
    <t>Covered Solidity</t>
  </si>
  <si>
    <t>Gap Chord</t>
  </si>
  <si>
    <t>X Peak</t>
  </si>
  <si>
    <t>Y Peak</t>
  </si>
  <si>
    <t>Solidity_0</t>
  </si>
  <si>
    <t>Tmax / O_Min</t>
  </si>
  <si>
    <t>O_Min/(Tau*Cos(B1))</t>
  </si>
  <si>
    <t>(O/Tau_TE-Cos(B1) )*58</t>
  </si>
  <si>
    <t>50</t>
  </si>
  <si>
    <t>Mod O_TE/Tau</t>
  </si>
  <si>
    <t>Mod O_TE / Tau - Cos(B1)</t>
  </si>
  <si>
    <t>.6</t>
  </si>
  <si>
    <t>.3</t>
  </si>
  <si>
    <t>.5</t>
  </si>
  <si>
    <t>1.8</t>
  </si>
  <si>
    <t>8</t>
  </si>
  <si>
    <t>Sin(Covered SS Camber)</t>
  </si>
  <si>
    <t>1st Covered Beta* SS</t>
  </si>
  <si>
    <t>CosB1*SS Covered/CosB2*MCL</t>
  </si>
  <si>
    <t>CosB1*SS Covered/CosB2*SS</t>
  </si>
  <si>
    <t>CosB1*SS Covered/CosB2*PS</t>
  </si>
  <si>
    <t>SinB1*SS Covered-SinB2*MCL * Cos Ratio</t>
  </si>
  <si>
    <t>SinB1*SS Covered-SinB2*SS * Cos Ratio</t>
  </si>
  <si>
    <t>SinB1*SS Covered-SinB2*PS * Cos Ratio</t>
  </si>
  <si>
    <t>D-fac B1*SS_COVERED to B2*MCL</t>
  </si>
  <si>
    <t>D-fac B1*SS_COVERED to B2*SS</t>
  </si>
  <si>
    <t>D-facB1*SS_COVERED to  B2*PS</t>
  </si>
  <si>
    <t>.04</t>
  </si>
  <si>
    <t>Cos (Beta1)</t>
  </si>
  <si>
    <t>Cot(Beta1)</t>
  </si>
  <si>
    <t>Sin(Beta1)</t>
  </si>
  <si>
    <t>(Attach Ang-5.5)/(Mod O_TE/Tau - Cos(B1) )</t>
  </si>
  <si>
    <t>Sin Beta1 - Sin Beta2*ss</t>
  </si>
  <si>
    <t>2</t>
  </si>
  <si>
    <t>160</t>
  </si>
  <si>
    <t>Beta1 Factor for O_TE/Tau</t>
  </si>
  <si>
    <t>Beta1 Factor * (Mod O_TE/Tau - Cos(B1) )</t>
  </si>
  <si>
    <t>Predicted Isolated Airfoil Angle of Attack</t>
  </si>
  <si>
    <t>Predicted Isolated Fraction</t>
  </si>
  <si>
    <t>Predicted Angle of Attack</t>
  </si>
  <si>
    <t>Error Angle of Attack (T-P)</t>
  </si>
  <si>
    <t>70</t>
  </si>
  <si>
    <t>Del Ang of attack f(Solidity)</t>
  </si>
  <si>
    <t>Err Ang of attack f(O_TE/Tau, LER/Tmax, Solidity) (T-P)</t>
  </si>
  <si>
    <t>Predicted Angle of Attack f(O_TE/Tau, LER/Tmax, Solidity)</t>
  </si>
  <si>
    <t>Fraction Isolated Airfoil</t>
  </si>
  <si>
    <t>2.5</t>
  </si>
  <si>
    <t>(Mod O_TE/Tau - Cos(B1) )/(Attach Ang-5.5)</t>
  </si>
  <si>
    <t>Zweifel Coef (B2*MCL)</t>
  </si>
  <si>
    <t>2/(cos(Alpha_Chord)*Solidity)</t>
  </si>
  <si>
    <t>Sin(Beta1-Beta2*MCL)</t>
  </si>
  <si>
    <t>no turbines</t>
  </si>
  <si>
    <t>Sqrt( Solidity * Cos(Beta1) )</t>
  </si>
  <si>
    <t>Solidity * Cos(Beta1)</t>
  </si>
  <si>
    <t>80</t>
  </si>
  <si>
    <t>1.4</t>
  </si>
  <si>
    <t>25</t>
  </si>
  <si>
    <t>0</t>
  </si>
  <si>
    <t>Del PS Inc (2nd order beta1,theta*SS)</t>
  </si>
  <si>
    <t>Err Inc SS f(Cos(Beta1)*Soldity,Theta*SS,2nd order) (T-P)</t>
  </si>
  <si>
    <t>Del Inc SS f(Cos(Beta1)*Soldity,Theta*SS)</t>
  </si>
  <si>
    <t>Err Inc SS f(Cos(Beta1)*Soldity,Theta*SS (T-P))</t>
  </si>
  <si>
    <t>Power for solidity Cos(Beta1) (Theta*SS)</t>
  </si>
  <si>
    <t>Sin(Theta*SS)</t>
  </si>
  <si>
    <t>Cos(Theta*SS)</t>
  </si>
  <si>
    <t>Beta1_0</t>
  </si>
  <si>
    <t>Pred Power</t>
  </si>
  <si>
    <t>Inc Asym - Inc SS</t>
  </si>
  <si>
    <t>dum</t>
  </si>
  <si>
    <t>Inc SS isolated</t>
  </si>
  <si>
    <t>(Inc Asymt-Inc SS)/(inc Asym - Inc_SS isolated)</t>
  </si>
  <si>
    <t>5</t>
  </si>
  <si>
    <t>Dum</t>
  </si>
  <si>
    <t>Inc_Asymptotic</t>
  </si>
  <si>
    <t>Inc_Asymptotic Calc</t>
  </si>
  <si>
    <t>Mult</t>
  </si>
  <si>
    <t>Output Filename</t>
  </si>
  <si>
    <t>testOUTPUT</t>
  </si>
  <si>
    <t>Constrain Data</t>
  </si>
  <si>
    <t>End Data Set ID</t>
  </si>
  <si>
    <t>Start Data Set ID</t>
  </si>
  <si>
    <t>A Perez</t>
  </si>
  <si>
    <t>Version 3.0</t>
  </si>
  <si>
    <t>Added Mac OSX compatability (requires Excel 2011)</t>
  </si>
  <si>
    <t>Added the ability to combine data sets using data constrains</t>
  </si>
  <si>
    <t>Added the ability to save data sets to CSV files (indivually or as groups)</t>
  </si>
  <si>
    <t>Added the ability to reference variables by either column number or ID number</t>
  </si>
  <si>
    <t>s2</t>
  </si>
  <si>
    <t>F</t>
  </si>
  <si>
    <t>First Data Set</t>
  </si>
  <si>
    <t>Last Data Set</t>
  </si>
  <si>
    <t>Added the ability to remove units from data sets</t>
  </si>
  <si>
    <t>OS Control</t>
  </si>
  <si>
    <t>Size - Axis Labels</t>
  </si>
  <si>
    <r>
      <t xml:space="preserve">Multi_Graph V3.00                </t>
    </r>
    <r>
      <rPr>
        <b/>
        <sz val="18"/>
        <color indexed="10"/>
        <rFont val="Arial"/>
        <family val="2"/>
      </rPr>
      <t>USER MANUAL</t>
    </r>
  </si>
  <si>
    <t>Solidity_0.50.csv</t>
  </si>
  <si>
    <t>Solidity_0.75.csv</t>
  </si>
  <si>
    <t>65-006</t>
  </si>
  <si>
    <t>65-009</t>
  </si>
  <si>
    <t>65-206</t>
  </si>
  <si>
    <t>65-209</t>
  </si>
  <si>
    <t>65-012</t>
  </si>
  <si>
    <t>65-212</t>
  </si>
  <si>
    <t>65-412</t>
  </si>
  <si>
    <t>65-015</t>
  </si>
  <si>
    <t>65-215</t>
  </si>
  <si>
    <t>65-415</t>
  </si>
  <si>
    <t>Solidity_0.csv</t>
  </si>
  <si>
    <t>Solidity_1.00.csv</t>
  </si>
  <si>
    <t>Solidity_1.25.csv</t>
  </si>
  <si>
    <t>Solidity_1.50.csv</t>
  </si>
  <si>
    <t>Solidity_2.00.csv</t>
  </si>
</sst>
</file>

<file path=xl/styles.xml><?xml version="1.0" encoding="utf-8"?>
<styleSheet xmlns="http://schemas.openxmlformats.org/spreadsheetml/2006/main" xmlns:mc="http://schemas.openxmlformats.org/markup-compatibility/2006" xmlns:x14ac="http://schemas.microsoft.com/office/spreadsheetml/2009/9/ac" mc:Ignorable="x14ac">
  <fonts count="44">
    <font>
      <sz val="10"/>
      <name val="Arial"/>
    </font>
    <font>
      <sz val="10"/>
      <name val="Arial"/>
      <family val="2"/>
    </font>
    <font>
      <sz val="8"/>
      <name val="Arial"/>
      <family val="2"/>
    </font>
    <font>
      <b/>
      <sz val="12"/>
      <name val="Arial"/>
      <family val="2"/>
    </font>
    <font>
      <sz val="12"/>
      <name val="Arial"/>
      <family val="2"/>
    </font>
    <font>
      <b/>
      <sz val="10"/>
      <name val="Arial"/>
      <family val="2"/>
    </font>
    <font>
      <b/>
      <sz val="12"/>
      <color indexed="10"/>
      <name val="Arial"/>
      <family val="2"/>
    </font>
    <font>
      <b/>
      <sz val="14"/>
      <color indexed="10"/>
      <name val="Arial"/>
      <family val="2"/>
    </font>
    <font>
      <b/>
      <sz val="14"/>
      <name val="Arial"/>
      <family val="2"/>
    </font>
    <font>
      <b/>
      <sz val="14"/>
      <name val="Arial"/>
      <family val="2"/>
    </font>
    <font>
      <b/>
      <sz val="14"/>
      <color indexed="12"/>
      <name val="Arial"/>
      <family val="2"/>
    </font>
    <font>
      <b/>
      <sz val="12"/>
      <color indexed="12"/>
      <name val="Arial"/>
      <family val="2"/>
    </font>
    <font>
      <b/>
      <sz val="14"/>
      <color indexed="81"/>
      <name val="Arial"/>
      <family val="2"/>
    </font>
    <font>
      <i/>
      <sz val="14"/>
      <color indexed="81"/>
      <name val="Arial"/>
      <family val="2"/>
    </font>
    <font>
      <sz val="10"/>
      <color indexed="10"/>
      <name val="Arial"/>
      <family val="2"/>
    </font>
    <font>
      <b/>
      <sz val="18"/>
      <color indexed="12"/>
      <name val="Arial"/>
      <family val="2"/>
    </font>
    <font>
      <b/>
      <sz val="20"/>
      <color indexed="10"/>
      <name val="Arial"/>
      <family val="2"/>
    </font>
    <font>
      <b/>
      <sz val="10"/>
      <color indexed="9"/>
      <name val="Arial"/>
      <family val="2"/>
    </font>
    <font>
      <sz val="10"/>
      <color indexed="9"/>
      <name val="Arial"/>
      <family val="2"/>
    </font>
    <font>
      <b/>
      <sz val="10"/>
      <color indexed="9"/>
      <name val="Arial"/>
      <family val="2"/>
    </font>
    <font>
      <sz val="14"/>
      <color indexed="81"/>
      <name val="Arial"/>
      <family val="2"/>
    </font>
    <font>
      <b/>
      <u/>
      <sz val="14"/>
      <color indexed="10"/>
      <name val="Arial"/>
      <family val="2"/>
    </font>
    <font>
      <b/>
      <sz val="22"/>
      <color indexed="10"/>
      <name val="Arial"/>
      <family val="2"/>
    </font>
    <font>
      <b/>
      <sz val="12"/>
      <color indexed="81"/>
      <name val="Arial"/>
      <family val="2"/>
    </font>
    <font>
      <sz val="12"/>
      <color indexed="81"/>
      <name val="Arial"/>
      <family val="2"/>
    </font>
    <font>
      <sz val="12"/>
      <color indexed="10"/>
      <name val="Arial"/>
      <family val="2"/>
    </font>
    <font>
      <b/>
      <sz val="10"/>
      <color indexed="12"/>
      <name val="Arial"/>
      <family val="2"/>
    </font>
    <font>
      <b/>
      <i/>
      <sz val="18"/>
      <name val="Arial"/>
      <family val="2"/>
    </font>
    <font>
      <b/>
      <i/>
      <sz val="14"/>
      <color indexed="12"/>
      <name val="Arial"/>
      <family val="2"/>
    </font>
    <font>
      <sz val="12"/>
      <color indexed="12"/>
      <name val="Arial"/>
      <family val="2"/>
    </font>
    <font>
      <b/>
      <sz val="14"/>
      <color indexed="12"/>
      <name val="Arial"/>
      <family val="2"/>
    </font>
    <font>
      <b/>
      <sz val="12"/>
      <color indexed="12"/>
      <name val="Arial"/>
      <family val="2"/>
    </font>
    <font>
      <b/>
      <i/>
      <sz val="14"/>
      <name val="Arial"/>
      <family val="2"/>
    </font>
    <font>
      <sz val="12"/>
      <color indexed="12"/>
      <name val="Arial"/>
      <family val="2"/>
    </font>
    <font>
      <b/>
      <i/>
      <sz val="12"/>
      <name val="Arial"/>
      <family val="2"/>
    </font>
    <font>
      <b/>
      <sz val="18"/>
      <color indexed="10"/>
      <name val="Arial"/>
      <family val="2"/>
    </font>
    <font>
      <sz val="10"/>
      <name val="Arial"/>
      <family val="2"/>
    </font>
    <font>
      <sz val="10"/>
      <name val="Arial"/>
      <family val="2"/>
    </font>
    <font>
      <b/>
      <sz val="12"/>
      <color rgb="FF000000"/>
      <name val="Arial"/>
      <family val="2"/>
    </font>
    <font>
      <b/>
      <u/>
      <sz val="14"/>
      <color rgb="FF000000"/>
      <name val="Arial"/>
      <family val="2"/>
    </font>
    <font>
      <b/>
      <i/>
      <sz val="14"/>
      <color rgb="FF000000"/>
      <name val="Arial"/>
      <family val="2"/>
    </font>
    <font>
      <u/>
      <sz val="10"/>
      <color theme="10"/>
      <name val="Arial"/>
      <family val="2"/>
    </font>
    <font>
      <u/>
      <sz val="10"/>
      <color theme="11"/>
      <name val="Arial"/>
      <family val="2"/>
    </font>
    <font>
      <b/>
      <sz val="12"/>
      <color rgb="FF000000"/>
      <name val="Lucida Grande"/>
    </font>
  </fonts>
  <fills count="6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7"/>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8"/>
        <bgColor indexed="64"/>
      </patternFill>
    </fill>
    <fill>
      <patternFill patternType="solid">
        <fgColor indexed="18"/>
        <bgColor indexed="64"/>
      </patternFill>
    </fill>
    <fill>
      <patternFill patternType="solid">
        <fgColor indexed="32"/>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3"/>
        <bgColor indexed="64"/>
      </patternFill>
    </fill>
    <fill>
      <patternFill patternType="solid">
        <fgColor rgb="FFC3FFFF"/>
        <bgColor indexed="64"/>
      </patternFill>
    </fill>
    <fill>
      <patternFill patternType="solid">
        <fgColor rgb="FFFC82C5"/>
        <bgColor indexed="64"/>
      </patternFill>
    </fill>
  </fills>
  <borders count="4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right/>
      <top style="medium">
        <color auto="1"/>
      </top>
      <bottom/>
      <diagonal/>
    </border>
    <border>
      <left/>
      <right style="thin">
        <color auto="1"/>
      </right>
      <top/>
      <bottom style="thin">
        <color auto="1"/>
      </bottom>
      <diagonal/>
    </border>
    <border>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diagonal/>
    </border>
    <border>
      <left style="medium">
        <color auto="1"/>
      </left>
      <right style="thin">
        <color auto="1"/>
      </right>
      <top style="medium">
        <color auto="1"/>
      </top>
      <bottom style="medium">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diagonal/>
    </border>
    <border>
      <left/>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diagonal/>
    </border>
  </borders>
  <cellStyleXfs count="669">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289">
    <xf numFmtId="0" fontId="0" fillId="0" borderId="0" xfId="0"/>
    <xf numFmtId="49" fontId="4" fillId="0" borderId="0" xfId="0" applyNumberFormat="1" applyFont="1" applyAlignment="1">
      <alignment vertical="center" wrapText="1"/>
    </xf>
    <xf numFmtId="0" fontId="1" fillId="0" borderId="0" xfId="0" applyFont="1"/>
    <xf numFmtId="0" fontId="4" fillId="2" borderId="0" xfId="0" applyFont="1" applyFill="1" applyAlignment="1">
      <alignment horizontal="center"/>
    </xf>
    <xf numFmtId="0" fontId="4" fillId="2" borderId="0" xfId="0" applyFont="1" applyFill="1" applyAlignment="1">
      <alignment horizontal="center" vertical="center"/>
    </xf>
    <xf numFmtId="0" fontId="1" fillId="2" borderId="0" xfId="0" applyFont="1" applyFill="1" applyAlignment="1">
      <alignment horizontal="center" wrapText="1"/>
    </xf>
    <xf numFmtId="0" fontId="4" fillId="2" borderId="0" xfId="0" applyFont="1" applyFill="1"/>
    <xf numFmtId="0" fontId="0" fillId="0" borderId="0" xfId="0" applyAlignment="1">
      <alignment wrapText="1"/>
    </xf>
    <xf numFmtId="49" fontId="4" fillId="2" borderId="0" xfId="0" applyNumberFormat="1" applyFont="1" applyFill="1" applyAlignment="1">
      <alignment vertical="center" wrapText="1"/>
    </xf>
    <xf numFmtId="0" fontId="4" fillId="2" borderId="0" xfId="0" applyFont="1" applyFill="1" applyAlignment="1">
      <alignment wrapText="1"/>
    </xf>
    <xf numFmtId="0" fontId="4" fillId="0" borderId="0" xfId="0" applyFont="1" applyFill="1" applyAlignment="1">
      <alignment horizontal="center"/>
    </xf>
    <xf numFmtId="0" fontId="4" fillId="0" borderId="0" xfId="0" applyFont="1" applyFill="1"/>
    <xf numFmtId="0" fontId="0" fillId="0" borderId="0" xfId="0" applyFill="1"/>
    <xf numFmtId="0" fontId="3" fillId="3" borderId="1" xfId="0" applyFont="1" applyFill="1" applyBorder="1" applyAlignment="1">
      <alignment horizontal="center" vertical="center" wrapText="1"/>
    </xf>
    <xf numFmtId="0" fontId="3" fillId="3" borderId="1" xfId="0" applyFont="1" applyFill="1" applyBorder="1" applyAlignment="1">
      <alignment vertical="center" wrapText="1"/>
    </xf>
    <xf numFmtId="0" fontId="4" fillId="2" borderId="0" xfId="0" applyNumberFormat="1" applyFont="1" applyFill="1" applyAlignment="1">
      <alignment horizontal="center"/>
    </xf>
    <xf numFmtId="0" fontId="3" fillId="2" borderId="0" xfId="0" applyFont="1" applyFill="1" applyBorder="1" applyAlignment="1">
      <alignment horizontal="center" vertical="center"/>
    </xf>
    <xf numFmtId="0" fontId="3" fillId="2" borderId="0" xfId="0" applyFont="1" applyFill="1" applyBorder="1" applyAlignment="1">
      <alignment horizontal="center" vertical="center" wrapText="1"/>
    </xf>
    <xf numFmtId="0" fontId="3" fillId="2" borderId="0" xfId="0" applyFont="1" applyFill="1" applyBorder="1" applyAlignment="1">
      <alignment vertical="center" wrapText="1"/>
    </xf>
    <xf numFmtId="0" fontId="4" fillId="2" borderId="0" xfId="0" applyFont="1" applyFill="1" applyBorder="1"/>
    <xf numFmtId="0" fontId="4" fillId="2" borderId="0" xfId="0" applyNumberFormat="1" applyFont="1" applyFill="1" applyBorder="1" applyAlignment="1">
      <alignment horizontal="center"/>
    </xf>
    <xf numFmtId="0" fontId="4" fillId="2" borderId="0" xfId="0" applyNumberFormat="1" applyFont="1" applyFill="1" applyBorder="1" applyAlignment="1">
      <alignment horizontal="center" vertical="center" wrapText="1"/>
    </xf>
    <xf numFmtId="49" fontId="4" fillId="2" borderId="0" xfId="0" applyNumberFormat="1" applyFont="1" applyFill="1" applyBorder="1" applyAlignment="1">
      <alignment vertical="center" wrapText="1"/>
    </xf>
    <xf numFmtId="0" fontId="0" fillId="2" borderId="0" xfId="0" applyFill="1" applyBorder="1"/>
    <xf numFmtId="0" fontId="3" fillId="3" borderId="2"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4" fillId="2" borderId="1" xfId="0" applyNumberFormat="1" applyFont="1" applyFill="1" applyBorder="1" applyAlignment="1">
      <alignment horizontal="center"/>
    </xf>
    <xf numFmtId="0" fontId="4" fillId="2" borderId="1" xfId="0" applyNumberFormat="1" applyFont="1" applyFill="1" applyBorder="1" applyAlignment="1">
      <alignment horizontal="center" vertical="center" wrapText="1"/>
    </xf>
    <xf numFmtId="0" fontId="4" fillId="4" borderId="1" xfId="0" applyNumberFormat="1" applyFont="1" applyFill="1" applyBorder="1" applyAlignment="1">
      <alignment horizontal="center" vertical="center" wrapText="1"/>
    </xf>
    <xf numFmtId="0" fontId="5" fillId="0" borderId="0" xfId="0" applyFont="1"/>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6" borderId="0" xfId="0" applyFont="1" applyFill="1" applyAlignment="1">
      <alignment horizontal="center" vertical="center"/>
    </xf>
    <xf numFmtId="0" fontId="5" fillId="7" borderId="0" xfId="0" applyFont="1" applyFill="1" applyAlignment="1">
      <alignment horizontal="center" vertical="center"/>
    </xf>
    <xf numFmtId="0" fontId="5" fillId="8" borderId="0" xfId="0" applyFont="1" applyFill="1" applyAlignment="1">
      <alignment horizontal="center" vertical="center"/>
    </xf>
    <xf numFmtId="0" fontId="5" fillId="9" borderId="0" xfId="0" applyFont="1" applyFill="1" applyAlignment="1">
      <alignment horizontal="center" vertical="center"/>
    </xf>
    <xf numFmtId="0" fontId="5" fillId="10" borderId="0" xfId="0" applyFont="1" applyFill="1" applyAlignment="1">
      <alignment horizontal="center" vertical="center"/>
    </xf>
    <xf numFmtId="0" fontId="5" fillId="11" borderId="0" xfId="0" applyFont="1" applyFill="1" applyAlignment="1">
      <alignment horizontal="center" vertical="center"/>
    </xf>
    <xf numFmtId="0" fontId="5" fillId="12" borderId="0" xfId="0" applyFont="1" applyFill="1" applyAlignment="1">
      <alignment horizontal="center" vertical="center"/>
    </xf>
    <xf numFmtId="0" fontId="5" fillId="13" borderId="0" xfId="0" applyFont="1" applyFill="1" applyAlignment="1">
      <alignment horizontal="center" vertical="center"/>
    </xf>
    <xf numFmtId="0" fontId="5" fillId="14" borderId="0" xfId="0" applyFont="1" applyFill="1" applyAlignment="1">
      <alignment horizontal="center" vertical="center"/>
    </xf>
    <xf numFmtId="0" fontId="5" fillId="15" borderId="0" xfId="0" applyFont="1" applyFill="1" applyAlignment="1">
      <alignment horizontal="center" vertical="center"/>
    </xf>
    <xf numFmtId="0" fontId="5" fillId="16"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9" borderId="0" xfId="0" applyFont="1" applyFill="1" applyAlignment="1">
      <alignment horizontal="center" vertical="center"/>
    </xf>
    <xf numFmtId="0" fontId="5" fillId="20" borderId="0" xfId="0" applyFont="1" applyFill="1" applyAlignment="1">
      <alignment horizontal="center" vertical="center"/>
    </xf>
    <xf numFmtId="0" fontId="5" fillId="21" borderId="0" xfId="0" applyFont="1" applyFill="1" applyAlignment="1">
      <alignment horizontal="center" vertical="center"/>
    </xf>
    <xf numFmtId="0" fontId="5" fillId="22" borderId="0" xfId="0" applyFont="1" applyFill="1" applyAlignment="1">
      <alignment horizontal="center" vertical="center"/>
    </xf>
    <xf numFmtId="0" fontId="5" fillId="23" borderId="0" xfId="0" applyFont="1" applyFill="1" applyAlignment="1">
      <alignment horizontal="center" vertical="center"/>
    </xf>
    <xf numFmtId="0" fontId="5" fillId="24" borderId="0" xfId="0" applyFont="1" applyFill="1" applyAlignment="1">
      <alignment horizontal="center" vertical="center"/>
    </xf>
    <xf numFmtId="0" fontId="5" fillId="25" borderId="0" xfId="0" applyFont="1" applyFill="1" applyAlignment="1">
      <alignment horizontal="center" vertical="center"/>
    </xf>
    <xf numFmtId="0" fontId="5" fillId="26" borderId="0" xfId="0" applyFont="1" applyFill="1" applyAlignment="1">
      <alignment horizontal="center" vertical="center"/>
    </xf>
    <xf numFmtId="0" fontId="5" fillId="27" borderId="0" xfId="0" applyFont="1" applyFill="1" applyAlignment="1">
      <alignment horizontal="center" vertical="center"/>
    </xf>
    <xf numFmtId="0" fontId="5" fillId="28" borderId="0" xfId="0" applyFont="1" applyFill="1" applyAlignment="1">
      <alignment horizontal="center" vertical="center"/>
    </xf>
    <xf numFmtId="0" fontId="5" fillId="29" borderId="0" xfId="0" applyFont="1" applyFill="1" applyAlignment="1">
      <alignment horizontal="center" vertical="center"/>
    </xf>
    <xf numFmtId="0" fontId="5" fillId="30" borderId="0" xfId="0" applyFont="1" applyFill="1" applyAlignment="1">
      <alignment horizontal="center" vertical="center"/>
    </xf>
    <xf numFmtId="0" fontId="5" fillId="31" borderId="0" xfId="0" applyFont="1" applyFill="1" applyAlignment="1">
      <alignment horizontal="center" vertical="center"/>
    </xf>
    <xf numFmtId="0" fontId="5" fillId="32" borderId="0" xfId="0" applyFont="1" applyFill="1" applyAlignment="1">
      <alignment horizontal="center" vertical="center"/>
    </xf>
    <xf numFmtId="0" fontId="5" fillId="33" borderId="0" xfId="0" applyFont="1" applyFill="1" applyAlignment="1">
      <alignment horizontal="center" vertical="center"/>
    </xf>
    <xf numFmtId="0" fontId="5" fillId="3" borderId="0" xfId="0" applyFont="1" applyFill="1" applyAlignment="1">
      <alignment horizontal="center" vertical="center"/>
    </xf>
    <xf numFmtId="0" fontId="5" fillId="34" borderId="0" xfId="0" applyFont="1" applyFill="1" applyAlignment="1">
      <alignment horizontal="center" vertical="center"/>
    </xf>
    <xf numFmtId="0" fontId="5" fillId="4" borderId="0" xfId="0" applyFont="1" applyFill="1" applyAlignment="1">
      <alignment horizontal="center" vertical="center"/>
    </xf>
    <xf numFmtId="0" fontId="5" fillId="35" borderId="0" xfId="0" applyFont="1" applyFill="1" applyAlignment="1">
      <alignment horizontal="center" vertical="center"/>
    </xf>
    <xf numFmtId="0" fontId="5" fillId="36" borderId="0" xfId="0" applyFont="1" applyFill="1" applyAlignment="1">
      <alignment horizontal="center" vertical="center"/>
    </xf>
    <xf numFmtId="0" fontId="5" fillId="37" borderId="0" xfId="0" applyFont="1" applyFill="1" applyAlignment="1">
      <alignment horizontal="center" vertical="center"/>
    </xf>
    <xf numFmtId="0" fontId="5" fillId="38" borderId="0" xfId="0" applyFont="1" applyFill="1" applyAlignment="1">
      <alignment horizontal="center" vertical="center"/>
    </xf>
    <xf numFmtId="0" fontId="5" fillId="39" borderId="0" xfId="0" applyFont="1" applyFill="1" applyAlignment="1">
      <alignment horizontal="center" vertical="center"/>
    </xf>
    <xf numFmtId="0" fontId="5" fillId="40" borderId="0" xfId="0" applyFont="1" applyFill="1" applyAlignment="1">
      <alignment horizontal="center" vertical="center"/>
    </xf>
    <xf numFmtId="0" fontId="5" fillId="41" borderId="0" xfId="0" applyFont="1" applyFill="1" applyAlignment="1">
      <alignment horizontal="center" vertical="center"/>
    </xf>
    <xf numFmtId="0" fontId="5" fillId="42" borderId="0" xfId="0" applyFont="1" applyFill="1" applyAlignment="1">
      <alignment horizontal="center" vertical="center"/>
    </xf>
    <xf numFmtId="0" fontId="5" fillId="43" borderId="0" xfId="0" applyFont="1" applyFill="1" applyAlignment="1">
      <alignment horizontal="center" vertical="center"/>
    </xf>
    <xf numFmtId="0" fontId="5" fillId="44" borderId="0" xfId="0" applyFont="1" applyFill="1" applyAlignment="1">
      <alignment horizontal="center" vertical="center"/>
    </xf>
    <xf numFmtId="0" fontId="5" fillId="45" borderId="0" xfId="0" applyFont="1" applyFill="1" applyAlignment="1">
      <alignment horizontal="center" vertical="center"/>
    </xf>
    <xf numFmtId="0" fontId="5" fillId="46" borderId="0" xfId="0" applyFont="1" applyFill="1" applyAlignment="1">
      <alignment horizontal="center" vertical="center"/>
    </xf>
    <xf numFmtId="0" fontId="5" fillId="47" borderId="0" xfId="0" applyFont="1" applyFill="1" applyAlignment="1">
      <alignment horizontal="center" vertical="center"/>
    </xf>
    <xf numFmtId="0" fontId="5" fillId="48" borderId="0" xfId="0" applyFont="1" applyFill="1" applyAlignment="1">
      <alignment horizontal="center" vertical="center"/>
    </xf>
    <xf numFmtId="0" fontId="5" fillId="49" borderId="0" xfId="0" applyFont="1" applyFill="1" applyAlignment="1">
      <alignment horizontal="center" vertical="center"/>
    </xf>
    <xf numFmtId="0" fontId="5" fillId="50" borderId="0" xfId="0" applyFont="1" applyFill="1" applyAlignment="1">
      <alignment horizontal="center" vertical="center"/>
    </xf>
    <xf numFmtId="14" fontId="0" fillId="0" borderId="0" xfId="0" applyNumberFormat="1"/>
    <xf numFmtId="0" fontId="0" fillId="2" borderId="0" xfId="0" applyFill="1"/>
    <xf numFmtId="0" fontId="1" fillId="2" borderId="0" xfId="0" applyFont="1" applyFill="1"/>
    <xf numFmtId="0" fontId="0" fillId="2" borderId="0" xfId="0" applyFill="1" applyAlignment="1">
      <alignment wrapText="1"/>
    </xf>
    <xf numFmtId="0" fontId="7" fillId="0" borderId="0" xfId="0" applyFont="1"/>
    <xf numFmtId="0" fontId="4" fillId="2" borderId="0" xfId="0" applyNumberFormat="1" applyFont="1" applyFill="1" applyBorder="1" applyAlignment="1">
      <alignment horizontal="left" vertical="center" wrapText="1"/>
    </xf>
    <xf numFmtId="0" fontId="4" fillId="3" borderId="1" xfId="0" applyNumberFormat="1" applyFont="1" applyFill="1" applyBorder="1" applyAlignment="1">
      <alignment horizontal="center"/>
    </xf>
    <xf numFmtId="0" fontId="0" fillId="3" borderId="1" xfId="0" applyFill="1" applyBorder="1"/>
    <xf numFmtId="0" fontId="4" fillId="3" borderId="1" xfId="0" applyNumberFormat="1" applyFont="1" applyFill="1" applyBorder="1" applyAlignment="1">
      <alignment horizontal="center" vertical="center" wrapText="1"/>
    </xf>
    <xf numFmtId="0" fontId="3" fillId="4" borderId="3" xfId="0" applyFont="1" applyFill="1" applyBorder="1" applyAlignment="1">
      <alignment horizontal="center" vertical="center" wrapText="1"/>
    </xf>
    <xf numFmtId="0" fontId="1" fillId="2" borderId="0" xfId="0" applyFont="1" applyFill="1" applyBorder="1"/>
    <xf numFmtId="0" fontId="4" fillId="4" borderId="1" xfId="0" applyFont="1" applyFill="1" applyBorder="1" applyAlignment="1">
      <alignment horizontal="center"/>
    </xf>
    <xf numFmtId="0" fontId="1" fillId="4" borderId="1" xfId="0" applyNumberFormat="1" applyFont="1" applyFill="1" applyBorder="1" applyAlignment="1">
      <alignment horizontal="center"/>
    </xf>
    <xf numFmtId="0" fontId="1" fillId="2" borderId="0" xfId="0" applyNumberFormat="1" applyFont="1" applyFill="1" applyAlignment="1">
      <alignment horizontal="center"/>
    </xf>
    <xf numFmtId="0" fontId="1" fillId="2" borderId="0" xfId="0" applyNumberFormat="1" applyFont="1" applyFill="1" applyBorder="1" applyAlignment="1">
      <alignment horizontal="center"/>
    </xf>
    <xf numFmtId="0" fontId="1" fillId="2" borderId="0" xfId="0" applyNumberFormat="1" applyFont="1" applyFill="1" applyBorder="1" applyAlignment="1">
      <alignment horizontal="center" vertical="center" wrapText="1"/>
    </xf>
    <xf numFmtId="0" fontId="0" fillId="2" borderId="0" xfId="0" applyFill="1" applyBorder="1" applyAlignment="1">
      <alignment vertical="center" wrapText="1"/>
    </xf>
    <xf numFmtId="0" fontId="4" fillId="4" borderId="4" xfId="0" applyNumberFormat="1" applyFont="1" applyFill="1" applyBorder="1" applyAlignment="1">
      <alignment horizontal="center"/>
    </xf>
    <xf numFmtId="0" fontId="4" fillId="2" borderId="5" xfId="0" applyNumberFormat="1" applyFont="1" applyFill="1" applyBorder="1" applyAlignment="1">
      <alignment horizontal="center"/>
    </xf>
    <xf numFmtId="0" fontId="4" fillId="2" borderId="5" xfId="0" applyFont="1" applyFill="1" applyBorder="1"/>
    <xf numFmtId="0" fontId="0" fillId="2" borderId="5" xfId="0" applyFill="1" applyBorder="1"/>
    <xf numFmtId="0" fontId="4" fillId="4" borderId="6" xfId="0" applyNumberFormat="1" applyFont="1" applyFill="1" applyBorder="1" applyAlignment="1">
      <alignment horizontal="center" vertical="center" wrapText="1"/>
    </xf>
    <xf numFmtId="0" fontId="4" fillId="4" borderId="7" xfId="0" applyNumberFormat="1" applyFont="1" applyFill="1" applyBorder="1" applyAlignment="1">
      <alignment horizontal="center" vertical="center" wrapText="1"/>
    </xf>
    <xf numFmtId="0" fontId="4" fillId="4" borderId="8" xfId="0" applyNumberFormat="1" applyFont="1" applyFill="1" applyBorder="1" applyAlignment="1">
      <alignment horizontal="center" vertical="center" wrapText="1"/>
    </xf>
    <xf numFmtId="0" fontId="4" fillId="2" borderId="9" xfId="0" applyNumberFormat="1" applyFont="1" applyFill="1" applyBorder="1" applyAlignment="1">
      <alignment horizontal="center"/>
    </xf>
    <xf numFmtId="0" fontId="4" fillId="2" borderId="9" xfId="0" applyFont="1" applyFill="1" applyBorder="1"/>
    <xf numFmtId="0" fontId="0" fillId="2" borderId="9" xfId="0" applyFill="1" applyBorder="1"/>
    <xf numFmtId="0" fontId="4" fillId="2" borderId="10" xfId="0" applyNumberFormat="1" applyFont="1" applyFill="1" applyBorder="1" applyAlignment="1">
      <alignment horizontal="center" vertical="center" wrapText="1"/>
    </xf>
    <xf numFmtId="0" fontId="4" fillId="4" borderId="11" xfId="0" applyNumberFormat="1" applyFont="1" applyFill="1" applyBorder="1" applyAlignment="1">
      <alignment horizontal="center"/>
    </xf>
    <xf numFmtId="0" fontId="4" fillId="4"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xf>
    <xf numFmtId="0" fontId="4" fillId="4" borderId="12" xfId="0" applyNumberFormat="1" applyFont="1" applyFill="1" applyBorder="1" applyAlignment="1">
      <alignment horizontal="center" vertical="center" wrapText="1"/>
    </xf>
    <xf numFmtId="0" fontId="4" fillId="0" borderId="13" xfId="0" applyNumberFormat="1" applyFont="1" applyFill="1" applyBorder="1" applyAlignment="1">
      <alignment horizontal="left"/>
    </xf>
    <xf numFmtId="0" fontId="4" fillId="0" borderId="6" xfId="0" applyNumberFormat="1" applyFont="1" applyFill="1" applyBorder="1" applyAlignment="1">
      <alignment horizontal="left" vertical="center" wrapText="1"/>
    </xf>
    <xf numFmtId="0" fontId="4" fillId="0" borderId="6" xfId="0" applyNumberFormat="1" applyFont="1" applyFill="1" applyBorder="1" applyAlignment="1">
      <alignment horizontal="left"/>
    </xf>
    <xf numFmtId="0" fontId="4" fillId="0" borderId="8" xfId="0" applyNumberFormat="1" applyFont="1" applyFill="1" applyBorder="1" applyAlignment="1">
      <alignment horizontal="left" vertical="center" wrapText="1"/>
    </xf>
    <xf numFmtId="0" fontId="4" fillId="0" borderId="6" xfId="0" applyNumberFormat="1" applyFont="1" applyFill="1" applyBorder="1" applyAlignment="1">
      <alignment horizontal="left" vertical="center"/>
    </xf>
    <xf numFmtId="0" fontId="4" fillId="4" borderId="2" xfId="0" applyFont="1" applyFill="1" applyBorder="1" applyAlignment="1">
      <alignment horizontal="center"/>
    </xf>
    <xf numFmtId="0" fontId="3" fillId="4" borderId="2" xfId="0" applyFont="1" applyFill="1" applyBorder="1" applyAlignment="1">
      <alignment horizontal="center" vertical="center" wrapText="1"/>
    </xf>
    <xf numFmtId="0" fontId="3" fillId="2" borderId="14" xfId="0" applyFont="1" applyFill="1" applyBorder="1" applyAlignment="1">
      <alignment vertical="center"/>
    </xf>
    <xf numFmtId="0" fontId="4" fillId="2" borderId="15" xfId="0" applyFont="1" applyFill="1" applyBorder="1"/>
    <xf numFmtId="11" fontId="0" fillId="0" borderId="0" xfId="0" applyNumberFormat="1"/>
    <xf numFmtId="0" fontId="3" fillId="3" borderId="1" xfId="0" applyFont="1" applyFill="1" applyBorder="1" applyAlignment="1">
      <alignment horizontal="center"/>
    </xf>
    <xf numFmtId="0" fontId="8" fillId="3" borderId="16" xfId="0" applyFont="1" applyFill="1" applyBorder="1" applyAlignment="1">
      <alignment horizontal="center"/>
    </xf>
    <xf numFmtId="0" fontId="3" fillId="3" borderId="4" xfId="0" applyFont="1" applyFill="1" applyBorder="1" applyAlignment="1">
      <alignment horizont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11" fillId="2" borderId="0" xfId="0" applyFont="1" applyFill="1"/>
    <xf numFmtId="0" fontId="4" fillId="3" borderId="1" xfId="0" applyFont="1" applyFill="1"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49" fontId="4" fillId="3" borderId="1" xfId="0" applyNumberFormat="1" applyFont="1" applyFill="1" applyBorder="1" applyAlignment="1">
      <alignment horizontal="center" vertical="center" wrapText="1"/>
    </xf>
    <xf numFmtId="49" fontId="4" fillId="3" borderId="6" xfId="0" applyNumberFormat="1" applyFont="1" applyFill="1" applyBorder="1" applyAlignment="1">
      <alignment horizontal="center" vertical="center" wrapText="1"/>
    </xf>
    <xf numFmtId="0" fontId="5" fillId="4"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1" xfId="0" applyFont="1" applyFill="1" applyBorder="1"/>
    <xf numFmtId="0" fontId="14" fillId="0" borderId="0" xfId="0" applyFont="1"/>
    <xf numFmtId="0" fontId="14" fillId="0" borderId="0" xfId="0" applyFont="1" applyAlignment="1">
      <alignment wrapText="1"/>
    </xf>
    <xf numFmtId="0" fontId="8" fillId="3" borderId="4" xfId="0" applyFont="1" applyFill="1" applyBorder="1" applyAlignment="1">
      <alignment horizontal="center"/>
    </xf>
    <xf numFmtId="0" fontId="8" fillId="36" borderId="1" xfId="0" applyFont="1" applyFill="1" applyBorder="1" applyAlignment="1">
      <alignment horizontal="center"/>
    </xf>
    <xf numFmtId="0" fontId="4" fillId="2" borderId="4" xfId="0" applyNumberFormat="1" applyFont="1" applyFill="1" applyBorder="1" applyAlignment="1">
      <alignment horizontal="center"/>
    </xf>
    <xf numFmtId="0" fontId="16" fillId="2" borderId="0" xfId="0" applyFont="1" applyFill="1" applyBorder="1" applyAlignment="1">
      <alignment vertical="center" wrapText="1"/>
    </xf>
    <xf numFmtId="0" fontId="4" fillId="2" borderId="17" xfId="0" applyFont="1" applyFill="1" applyBorder="1"/>
    <xf numFmtId="0" fontId="15" fillId="2" borderId="0" xfId="0" applyFont="1" applyFill="1" applyBorder="1" applyAlignment="1"/>
    <xf numFmtId="0" fontId="8" fillId="3" borderId="1" xfId="0" applyFont="1" applyFill="1" applyBorder="1" applyAlignment="1">
      <alignment horizontal="center"/>
    </xf>
    <xf numFmtId="0" fontId="4" fillId="4" borderId="4" xfId="0" applyFont="1" applyFill="1" applyBorder="1" applyAlignment="1">
      <alignment horizontal="center"/>
    </xf>
    <xf numFmtId="0" fontId="8" fillId="36" borderId="4" xfId="0" applyFont="1" applyFill="1" applyBorder="1" applyAlignment="1">
      <alignment horizontal="center"/>
    </xf>
    <xf numFmtId="0" fontId="17" fillId="51" borderId="0" xfId="0" applyFont="1" applyFill="1" applyAlignment="1">
      <alignment horizontal="center" vertical="center"/>
    </xf>
    <xf numFmtId="0" fontId="18" fillId="0" borderId="0" xfId="0" applyFont="1"/>
    <xf numFmtId="0" fontId="19" fillId="52" borderId="0" xfId="0" applyFont="1" applyFill="1" applyAlignment="1">
      <alignment horizontal="center" vertical="center"/>
    </xf>
    <xf numFmtId="0" fontId="19" fillId="53" borderId="0" xfId="0" applyFont="1" applyFill="1" applyAlignment="1">
      <alignment horizontal="center" vertical="center"/>
    </xf>
    <xf numFmtId="0" fontId="19" fillId="54" borderId="0" xfId="0" applyFont="1" applyFill="1" applyAlignment="1">
      <alignment horizontal="center" vertical="center"/>
    </xf>
    <xf numFmtId="0" fontId="19" fillId="55" borderId="0" xfId="0" applyFont="1" applyFill="1" applyAlignment="1">
      <alignment horizontal="center" vertical="center"/>
    </xf>
    <xf numFmtId="0" fontId="19" fillId="56" borderId="0" xfId="0" applyFont="1" applyFill="1" applyAlignment="1">
      <alignment horizontal="center" vertical="center"/>
    </xf>
    <xf numFmtId="0" fontId="19" fillId="57" borderId="0" xfId="0" applyFont="1" applyFill="1" applyAlignment="1">
      <alignment horizontal="center" vertical="center"/>
    </xf>
    <xf numFmtId="0" fontId="1" fillId="0" borderId="0" xfId="0" applyFont="1" applyAlignment="1">
      <alignment wrapText="1"/>
    </xf>
    <xf numFmtId="0" fontId="9" fillId="3" borderId="18" xfId="0" applyFont="1" applyFill="1" applyBorder="1" applyAlignment="1">
      <alignment horizontal="center"/>
    </xf>
    <xf numFmtId="0" fontId="8" fillId="3" borderId="19" xfId="0" applyFont="1" applyFill="1" applyBorder="1" applyAlignment="1">
      <alignment horizontal="center"/>
    </xf>
    <xf numFmtId="0" fontId="8" fillId="3" borderId="18" xfId="0" applyFont="1" applyFill="1" applyBorder="1" applyAlignment="1">
      <alignment horizontal="center"/>
    </xf>
    <xf numFmtId="0" fontId="8" fillId="3" borderId="13" xfId="0" applyFont="1" applyFill="1" applyBorder="1" applyAlignment="1">
      <alignment horizontal="center"/>
    </xf>
    <xf numFmtId="0" fontId="8" fillId="2" borderId="0" xfId="0" applyFont="1" applyFill="1" applyAlignment="1">
      <alignment horizontal="center"/>
    </xf>
    <xf numFmtId="0" fontId="8" fillId="3" borderId="20" xfId="0" applyFont="1" applyFill="1" applyBorder="1" applyAlignment="1">
      <alignment horizontal="center"/>
    </xf>
    <xf numFmtId="0" fontId="8" fillId="3" borderId="7" xfId="0" applyFont="1" applyFill="1" applyBorder="1" applyAlignment="1">
      <alignment horizontal="center"/>
    </xf>
    <xf numFmtId="0" fontId="8" fillId="3" borderId="8" xfId="0" applyFont="1" applyFill="1" applyBorder="1" applyAlignment="1">
      <alignment horizontal="center"/>
    </xf>
    <xf numFmtId="0" fontId="8" fillId="0" borderId="0" xfId="0" applyFont="1" applyAlignment="1">
      <alignment horizontal="center"/>
    </xf>
    <xf numFmtId="0" fontId="8" fillId="3" borderId="21" xfId="0" applyFont="1" applyFill="1" applyBorder="1" applyAlignment="1">
      <alignment horizontal="center"/>
    </xf>
    <xf numFmtId="0" fontId="8" fillId="3" borderId="6" xfId="0" applyFont="1" applyFill="1" applyBorder="1" applyAlignment="1">
      <alignment horizontal="center"/>
    </xf>
    <xf numFmtId="14" fontId="1" fillId="0" borderId="0" xfId="0" applyNumberFormat="1" applyFont="1"/>
    <xf numFmtId="0" fontId="3" fillId="3" borderId="1" xfId="0" applyFont="1" applyFill="1" applyBorder="1"/>
    <xf numFmtId="0" fontId="5" fillId="2" borderId="0" xfId="0" applyFont="1" applyFill="1"/>
    <xf numFmtId="0" fontId="0" fillId="4" borderId="1" xfId="0" applyFill="1" applyBorder="1"/>
    <xf numFmtId="0" fontId="11" fillId="2" borderId="1" xfId="0" applyFont="1" applyFill="1" applyBorder="1" applyAlignment="1">
      <alignment vertical="center"/>
    </xf>
    <xf numFmtId="0" fontId="11" fillId="2" borderId="1" xfId="0" applyFont="1" applyFill="1" applyBorder="1" applyAlignment="1">
      <alignment horizontal="center" vertical="center"/>
    </xf>
    <xf numFmtId="0" fontId="11" fillId="2" borderId="1" xfId="0" applyFont="1" applyFill="1" applyBorder="1" applyAlignment="1">
      <alignment horizontal="center" vertical="center" wrapText="1"/>
    </xf>
    <xf numFmtId="0" fontId="27" fillId="2" borderId="22" xfId="0" applyFont="1" applyFill="1" applyBorder="1" applyAlignment="1">
      <alignment horizontal="center" vertical="center"/>
    </xf>
    <xf numFmtId="0" fontId="27" fillId="2" borderId="22" xfId="0" applyFont="1" applyFill="1" applyBorder="1" applyAlignment="1">
      <alignment horizontal="center" wrapText="1"/>
    </xf>
    <xf numFmtId="0" fontId="28" fillId="2" borderId="22" xfId="0" applyFont="1" applyFill="1" applyBorder="1" applyAlignment="1">
      <alignment horizontal="center" wrapText="1"/>
    </xf>
    <xf numFmtId="0" fontId="29" fillId="2" borderId="1" xfId="0" applyNumberFormat="1" applyFont="1" applyFill="1" applyBorder="1" applyAlignment="1">
      <alignment horizontal="center" vertical="center" wrapText="1"/>
    </xf>
    <xf numFmtId="0" fontId="30" fillId="2" borderId="23" xfId="0" applyFont="1" applyFill="1" applyBorder="1" applyAlignment="1">
      <alignment horizontal="center"/>
    </xf>
    <xf numFmtId="0" fontId="30" fillId="2" borderId="3" xfId="0" applyFont="1" applyFill="1" applyBorder="1" applyAlignment="1">
      <alignment horizontal="center"/>
    </xf>
    <xf numFmtId="0" fontId="31" fillId="2" borderId="23" xfId="0" applyFont="1" applyFill="1" applyBorder="1" applyAlignment="1">
      <alignment horizontal="left"/>
    </xf>
    <xf numFmtId="0" fontId="31" fillId="2" borderId="24" xfId="0" applyFont="1" applyFill="1" applyBorder="1" applyAlignment="1">
      <alignment horizontal="center"/>
    </xf>
    <xf numFmtId="0" fontId="31" fillId="2" borderId="3" xfId="0" applyFont="1" applyFill="1" applyBorder="1" applyAlignment="1">
      <alignment horizontal="center"/>
    </xf>
    <xf numFmtId="0" fontId="31" fillId="2" borderId="3" xfId="0" applyFont="1" applyFill="1" applyBorder="1" applyAlignment="1">
      <alignment horizontal="left"/>
    </xf>
    <xf numFmtId="0" fontId="27" fillId="2" borderId="25" xfId="0" applyFont="1" applyFill="1" applyBorder="1" applyAlignment="1">
      <alignment horizontal="center" wrapText="1"/>
    </xf>
    <xf numFmtId="0" fontId="29" fillId="4" borderId="1" xfId="0" applyFont="1" applyFill="1" applyBorder="1" applyAlignment="1">
      <alignment horizontal="center"/>
    </xf>
    <xf numFmtId="0" fontId="27" fillId="2" borderId="22" xfId="0" applyFont="1" applyFill="1" applyBorder="1" applyAlignment="1">
      <alignment horizontal="center"/>
    </xf>
    <xf numFmtId="0" fontId="8" fillId="2" borderId="26" xfId="0" applyFont="1" applyFill="1" applyBorder="1" applyAlignment="1">
      <alignment horizontal="center" vertical="center" wrapText="1"/>
    </xf>
    <xf numFmtId="0" fontId="8" fillId="2" borderId="27" xfId="0" applyFont="1" applyFill="1" applyBorder="1" applyAlignment="1">
      <alignment horizontal="center" vertical="center" wrapText="1"/>
    </xf>
    <xf numFmtId="0" fontId="29" fillId="2" borderId="15" xfId="0" applyNumberFormat="1" applyFont="1" applyFill="1" applyBorder="1" applyAlignment="1">
      <alignment horizontal="left"/>
    </xf>
    <xf numFmtId="0" fontId="32" fillId="2" borderId="22" xfId="0" applyFont="1" applyFill="1" applyBorder="1" applyAlignment="1">
      <alignment vertical="center"/>
    </xf>
    <xf numFmtId="0" fontId="32" fillId="2" borderId="22" xfId="0" applyFont="1" applyFill="1" applyBorder="1" applyAlignment="1">
      <alignment horizontal="left" vertical="center"/>
    </xf>
    <xf numFmtId="0" fontId="3" fillId="3" borderId="1" xfId="0" applyNumberFormat="1" applyFont="1" applyFill="1" applyBorder="1" applyAlignment="1">
      <alignment horizontal="center"/>
    </xf>
    <xf numFmtId="0" fontId="5" fillId="3" borderId="1" xfId="0" applyFont="1" applyFill="1" applyBorder="1"/>
    <xf numFmtId="0" fontId="3" fillId="2" borderId="0" xfId="0" applyNumberFormat="1" applyFont="1" applyFill="1" applyBorder="1" applyAlignment="1">
      <alignment horizontal="center" vertical="center" wrapText="1"/>
    </xf>
    <xf numFmtId="49" fontId="3" fillId="2" borderId="0" xfId="0" applyNumberFormat="1" applyFont="1" applyFill="1" applyBorder="1" applyAlignment="1">
      <alignment vertical="center" wrapText="1"/>
    </xf>
    <xf numFmtId="49" fontId="3" fillId="0" borderId="0" xfId="0" applyNumberFormat="1" applyFont="1" applyAlignment="1">
      <alignment vertical="center" wrapText="1"/>
    </xf>
    <xf numFmtId="49" fontId="3" fillId="2" borderId="0" xfId="0" applyNumberFormat="1" applyFont="1" applyFill="1" applyAlignment="1">
      <alignment vertical="center" wrapText="1"/>
    </xf>
    <xf numFmtId="0" fontId="3" fillId="3" borderId="2" xfId="0" applyFont="1" applyFill="1" applyBorder="1" applyAlignment="1">
      <alignment horizontal="center" wrapText="1"/>
    </xf>
    <xf numFmtId="0" fontId="3" fillId="3" borderId="1" xfId="0" applyFont="1" applyFill="1" applyBorder="1" applyAlignment="1">
      <alignment horizontal="center" wrapText="1"/>
    </xf>
    <xf numFmtId="0" fontId="3" fillId="3" borderId="2" xfId="0" applyFont="1" applyFill="1" applyBorder="1" applyAlignment="1">
      <alignment horizontal="center"/>
    </xf>
    <xf numFmtId="0" fontId="3" fillId="3" borderId="2" xfId="0" applyNumberFormat="1" applyFont="1" applyFill="1" applyBorder="1" applyAlignment="1">
      <alignment horizontal="center"/>
    </xf>
    <xf numFmtId="49" fontId="3" fillId="2" borderId="0" xfId="0" applyNumberFormat="1" applyFont="1" applyFill="1" applyBorder="1" applyAlignment="1">
      <alignment horizontal="center" vertical="center" wrapText="1"/>
    </xf>
    <xf numFmtId="0" fontId="3" fillId="2" borderId="0" xfId="0" applyNumberFormat="1" applyFont="1" applyFill="1" applyBorder="1" applyAlignment="1">
      <alignment horizontal="center"/>
    </xf>
    <xf numFmtId="0" fontId="3" fillId="2" borderId="0" xfId="0" applyFont="1" applyFill="1" applyBorder="1" applyAlignment="1">
      <alignment horizontal="center"/>
    </xf>
    <xf numFmtId="49" fontId="3" fillId="3" borderId="1" xfId="0" applyNumberFormat="1" applyFont="1" applyFill="1" applyBorder="1" applyAlignment="1">
      <alignment horizontal="center" vertical="center" wrapText="1"/>
    </xf>
    <xf numFmtId="0" fontId="3" fillId="2" borderId="0" xfId="0" applyFont="1" applyFill="1" applyBorder="1"/>
    <xf numFmtId="0" fontId="3" fillId="2" borderId="0" xfId="0" applyFont="1" applyFill="1"/>
    <xf numFmtId="0" fontId="3" fillId="4" borderId="2" xfId="0" applyNumberFormat="1" applyFont="1" applyFill="1" applyBorder="1" applyAlignment="1">
      <alignment horizontal="center" vertical="center" wrapText="1"/>
    </xf>
    <xf numFmtId="0" fontId="3" fillId="4" borderId="1" xfId="0" applyNumberFormat="1" applyFont="1" applyFill="1" applyBorder="1" applyAlignment="1">
      <alignment horizontal="center" vertical="center" wrapText="1"/>
    </xf>
    <xf numFmtId="0" fontId="33" fillId="2" borderId="15" xfId="0" applyFont="1" applyFill="1" applyBorder="1" applyAlignment="1">
      <alignment horizontal="left" vertical="center" wrapText="1"/>
    </xf>
    <xf numFmtId="0" fontId="33" fillId="2" borderId="28" xfId="0" applyFont="1" applyFill="1" applyBorder="1" applyAlignment="1">
      <alignment horizontal="left" vertical="center"/>
    </xf>
    <xf numFmtId="0" fontId="33" fillId="2" borderId="28" xfId="0" applyFont="1" applyFill="1" applyBorder="1" applyAlignment="1">
      <alignment horizontal="left"/>
    </xf>
    <xf numFmtId="0" fontId="33" fillId="2" borderId="14" xfId="0" applyFont="1" applyFill="1" applyBorder="1" applyAlignment="1">
      <alignment horizontal="left"/>
    </xf>
    <xf numFmtId="0" fontId="33" fillId="2" borderId="15" xfId="0" applyFont="1" applyFill="1" applyBorder="1" applyAlignment="1">
      <alignment vertical="center" wrapText="1"/>
    </xf>
    <xf numFmtId="0" fontId="33" fillId="2" borderId="28" xfId="0" applyFont="1" applyFill="1" applyBorder="1" applyAlignment="1">
      <alignment vertical="center"/>
    </xf>
    <xf numFmtId="0" fontId="33" fillId="2" borderId="29" xfId="0" applyFont="1" applyFill="1" applyBorder="1" applyAlignment="1">
      <alignment vertical="center" wrapText="1"/>
    </xf>
    <xf numFmtId="0" fontId="29" fillId="2" borderId="14" xfId="0" applyNumberFormat="1" applyFont="1" applyFill="1" applyBorder="1" applyAlignment="1">
      <alignment horizontal="left" vertical="center" wrapText="1"/>
    </xf>
    <xf numFmtId="0" fontId="29" fillId="2" borderId="6" xfId="0" applyNumberFormat="1" applyFont="1" applyFill="1" applyBorder="1" applyAlignment="1">
      <alignment horizontal="left" vertical="center"/>
    </xf>
    <xf numFmtId="0" fontId="29" fillId="2" borderId="6" xfId="0" applyNumberFormat="1" applyFont="1" applyFill="1" applyBorder="1" applyAlignment="1">
      <alignment horizontal="left" vertical="center" wrapText="1"/>
    </xf>
    <xf numFmtId="0" fontId="29" fillId="2" borderId="6" xfId="0" applyNumberFormat="1" applyFont="1" applyFill="1" applyBorder="1" applyAlignment="1">
      <alignment horizontal="left"/>
    </xf>
    <xf numFmtId="0" fontId="29" fillId="2" borderId="8" xfId="0" applyNumberFormat="1" applyFont="1" applyFill="1" applyBorder="1" applyAlignment="1">
      <alignment horizontal="left" vertical="center" wrapText="1"/>
    </xf>
    <xf numFmtId="0" fontId="34" fillId="2" borderId="30" xfId="0" applyFont="1" applyFill="1" applyBorder="1" applyAlignment="1">
      <alignment horizontal="center"/>
    </xf>
    <xf numFmtId="0" fontId="8" fillId="3" borderId="31" xfId="0" applyFont="1" applyFill="1" applyBorder="1" applyAlignment="1">
      <alignment horizontal="center"/>
    </xf>
    <xf numFmtId="0" fontId="8" fillId="3" borderId="32" xfId="0" applyFont="1" applyFill="1" applyBorder="1" applyAlignment="1">
      <alignment horizontal="center"/>
    </xf>
    <xf numFmtId="0" fontId="9" fillId="3" borderId="7" xfId="0" applyFont="1" applyFill="1" applyBorder="1" applyAlignment="1">
      <alignment horizontal="center"/>
    </xf>
    <xf numFmtId="0" fontId="9" fillId="3" borderId="8" xfId="0" applyFont="1" applyFill="1" applyBorder="1" applyAlignment="1">
      <alignment horizontal="center"/>
    </xf>
    <xf numFmtId="0" fontId="8" fillId="3" borderId="20" xfId="0" applyFont="1" applyFill="1" applyBorder="1" applyAlignment="1">
      <alignment horizontal="left"/>
    </xf>
    <xf numFmtId="0" fontId="8" fillId="3" borderId="7" xfId="0" applyFont="1" applyFill="1" applyBorder="1" applyAlignment="1">
      <alignment horizontal="left"/>
    </xf>
    <xf numFmtId="0" fontId="8" fillId="3" borderId="8" xfId="0" applyFont="1" applyFill="1" applyBorder="1" applyAlignment="1">
      <alignment horizontal="left"/>
    </xf>
    <xf numFmtId="0" fontId="1" fillId="4" borderId="1" xfId="0" applyFont="1" applyFill="1" applyBorder="1" applyAlignment="1">
      <alignment horizontal="center"/>
    </xf>
    <xf numFmtId="0" fontId="4" fillId="4" borderId="23" xfId="0" applyNumberFormat="1" applyFont="1" applyFill="1" applyBorder="1" applyAlignment="1">
      <alignment horizontal="center"/>
    </xf>
    <xf numFmtId="0" fontId="0" fillId="2" borderId="33" xfId="0" applyFill="1" applyBorder="1"/>
    <xf numFmtId="0" fontId="4" fillId="4" borderId="34" xfId="0" applyNumberFormat="1" applyFont="1" applyFill="1" applyBorder="1" applyAlignment="1">
      <alignment horizontal="center" vertical="center" wrapText="1"/>
    </xf>
    <xf numFmtId="49" fontId="4" fillId="2" borderId="33" xfId="0" applyNumberFormat="1" applyFont="1" applyFill="1" applyBorder="1" applyAlignment="1">
      <alignment vertical="center" wrapText="1"/>
    </xf>
    <xf numFmtId="0" fontId="4" fillId="2" borderId="33" xfId="0" applyNumberFormat="1" applyFont="1" applyFill="1" applyBorder="1" applyAlignment="1">
      <alignment horizontal="center"/>
    </xf>
    <xf numFmtId="0" fontId="4" fillId="2" borderId="33" xfId="0" applyNumberFormat="1" applyFont="1" applyFill="1" applyBorder="1" applyAlignment="1">
      <alignment horizontal="center" vertic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6" xfId="0" applyFill="1" applyBorder="1" applyAlignment="1">
      <alignment horizontal="center" vertical="center" wrapText="1"/>
    </xf>
    <xf numFmtId="0" fontId="4" fillId="2" borderId="0" xfId="0" applyFont="1" applyFill="1" applyAlignment="1">
      <alignment horizontal="left"/>
    </xf>
    <xf numFmtId="0" fontId="4" fillId="2" borderId="35" xfId="0" applyFont="1" applyFill="1" applyBorder="1" applyAlignment="1">
      <alignment horizontal="center"/>
    </xf>
    <xf numFmtId="0" fontId="11" fillId="2" borderId="10" xfId="0" applyFont="1" applyFill="1" applyBorder="1" applyAlignment="1">
      <alignment horizontal="center"/>
    </xf>
    <xf numFmtId="0" fontId="3" fillId="2" borderId="10" xfId="0" applyFont="1" applyFill="1" applyBorder="1" applyAlignment="1">
      <alignment horizontal="center"/>
    </xf>
    <xf numFmtId="0" fontId="8" fillId="2" borderId="10" xfId="0" applyFont="1" applyFill="1" applyBorder="1" applyAlignment="1">
      <alignment horizontal="center"/>
    </xf>
    <xf numFmtId="0" fontId="8" fillId="2" borderId="36" xfId="0" applyFont="1" applyFill="1" applyBorder="1" applyAlignment="1">
      <alignment horizontal="center"/>
    </xf>
    <xf numFmtId="0" fontId="8" fillId="2" borderId="33" xfId="0" applyFont="1" applyFill="1" applyBorder="1" applyAlignment="1">
      <alignment horizontal="right"/>
    </xf>
    <xf numFmtId="0" fontId="8" fillId="2" borderId="37" xfId="0" applyFont="1" applyFill="1" applyBorder="1" applyAlignment="1">
      <alignment horizontal="center"/>
    </xf>
    <xf numFmtId="0" fontId="8" fillId="2" borderId="38" xfId="0" applyFont="1" applyFill="1" applyBorder="1" applyAlignment="1">
      <alignment horizontal="center"/>
    </xf>
    <xf numFmtId="0" fontId="8" fillId="2" borderId="5" xfId="0" applyFont="1" applyFill="1" applyBorder="1" applyAlignment="1">
      <alignment horizontal="left"/>
    </xf>
    <xf numFmtId="0" fontId="8" fillId="2" borderId="5" xfId="0" applyFont="1" applyFill="1" applyBorder="1" applyAlignment="1">
      <alignment horizontal="center"/>
    </xf>
    <xf numFmtId="0" fontId="8" fillId="2" borderId="39" xfId="0" applyFont="1" applyFill="1" applyBorder="1" applyAlignment="1">
      <alignment horizontal="center"/>
    </xf>
    <xf numFmtId="0" fontId="8" fillId="2" borderId="33" xfId="0" applyFont="1" applyFill="1" applyBorder="1" applyAlignment="1">
      <alignment horizontal="center"/>
    </xf>
    <xf numFmtId="0" fontId="37" fillId="0" borderId="0" xfId="0" applyFont="1"/>
    <xf numFmtId="0" fontId="37" fillId="0" borderId="0" xfId="0" applyFont="1" applyAlignment="1">
      <alignment wrapText="1"/>
    </xf>
    <xf numFmtId="0" fontId="10" fillId="2" borderId="1" xfId="0" applyFont="1" applyFill="1" applyBorder="1" applyAlignment="1">
      <alignment horizontal="center"/>
    </xf>
    <xf numFmtId="0" fontId="36" fillId="0" borderId="0" xfId="0" applyFont="1"/>
    <xf numFmtId="0" fontId="36" fillId="0" borderId="0" xfId="0" applyFont="1" applyFill="1"/>
    <xf numFmtId="2" fontId="36" fillId="0" borderId="0" xfId="0" applyNumberFormat="1" applyFont="1" applyFill="1"/>
    <xf numFmtId="2" fontId="0" fillId="0" borderId="0" xfId="0" applyNumberFormat="1" applyFill="1"/>
    <xf numFmtId="0" fontId="0" fillId="0" borderId="0" xfId="0" quotePrefix="1"/>
    <xf numFmtId="9" fontId="8" fillId="3" borderId="20" xfId="0" applyNumberFormat="1" applyFont="1" applyFill="1" applyBorder="1" applyAlignment="1">
      <alignment horizontal="left"/>
    </xf>
    <xf numFmtId="0" fontId="8" fillId="58" borderId="1" xfId="0" applyFont="1" applyFill="1" applyBorder="1" applyAlignment="1">
      <alignment horizontal="center"/>
    </xf>
    <xf numFmtId="0" fontId="8" fillId="58" borderId="1" xfId="0" applyFont="1" applyFill="1" applyBorder="1"/>
    <xf numFmtId="0" fontId="8" fillId="59" borderId="1" xfId="0" applyFont="1" applyFill="1" applyBorder="1" applyAlignment="1">
      <alignment horizontal="center"/>
    </xf>
    <xf numFmtId="0" fontId="8" fillId="3" borderId="1" xfId="0" applyFont="1" applyFill="1" applyBorder="1" applyAlignment="1">
      <alignment horizontal="center"/>
    </xf>
    <xf numFmtId="0" fontId="11" fillId="2" borderId="3" xfId="0" applyFont="1" applyFill="1" applyBorder="1" applyAlignment="1">
      <alignment horizontal="left"/>
    </xf>
    <xf numFmtId="0" fontId="0" fillId="2" borderId="0" xfId="0" applyFill="1" applyAlignment="1">
      <alignment horizontal="left"/>
    </xf>
    <xf numFmtId="0" fontId="27" fillId="2" borderId="40" xfId="0" applyFont="1" applyFill="1" applyBorder="1" applyAlignment="1">
      <alignment horizontal="center" vertical="center" wrapText="1"/>
    </xf>
    <xf numFmtId="0" fontId="27" fillId="2" borderId="41" xfId="0" applyFont="1" applyFill="1" applyBorder="1" applyAlignment="1">
      <alignment horizontal="center" vertical="center" wrapText="1"/>
    </xf>
    <xf numFmtId="0" fontId="22" fillId="2" borderId="40" xfId="0" applyFont="1" applyFill="1" applyBorder="1" applyAlignment="1">
      <alignment horizontal="center" vertical="center" wrapText="1"/>
    </xf>
    <xf numFmtId="0" fontId="22" fillId="2" borderId="9"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6" fillId="0" borderId="0" xfId="0" applyFont="1" applyFill="1" applyAlignment="1">
      <alignment horizontal="center"/>
    </xf>
    <xf numFmtId="0" fontId="8" fillId="3" borderId="4" xfId="0" applyFont="1" applyFill="1" applyBorder="1" applyAlignment="1">
      <alignment horizontal="center"/>
    </xf>
    <xf numFmtId="0" fontId="8" fillId="3" borderId="1" xfId="0" applyFont="1" applyFill="1" applyBorder="1" applyAlignment="1">
      <alignment horizontal="center"/>
    </xf>
    <xf numFmtId="0" fontId="8" fillId="4" borderId="1" xfId="0" applyFont="1" applyFill="1" applyBorder="1" applyAlignment="1">
      <alignment horizontal="center"/>
    </xf>
    <xf numFmtId="0" fontId="10" fillId="2" borderId="1" xfId="0" applyFont="1" applyFill="1" applyBorder="1" applyAlignment="1">
      <alignment horizontal="center"/>
    </xf>
    <xf numFmtId="0" fontId="32" fillId="2" borderId="30" xfId="0" applyFont="1" applyFill="1" applyBorder="1" applyAlignment="1">
      <alignment horizontal="center" vertical="center" wrapText="1"/>
    </xf>
    <xf numFmtId="0" fontId="32" fillId="2" borderId="42" xfId="0" applyFont="1" applyFill="1" applyBorder="1" applyAlignment="1">
      <alignment horizontal="center" vertical="center" wrapText="1"/>
    </xf>
    <xf numFmtId="0" fontId="32" fillId="2" borderId="29" xfId="0" applyFont="1" applyFill="1" applyBorder="1" applyAlignment="1">
      <alignment horizontal="center" vertical="center" wrapText="1"/>
    </xf>
    <xf numFmtId="0" fontId="10" fillId="2" borderId="1" xfId="0" applyFont="1" applyFill="1" applyBorder="1" applyAlignment="1">
      <alignment horizontal="left"/>
    </xf>
    <xf numFmtId="0" fontId="8" fillId="3" borderId="4" xfId="0" applyFont="1" applyFill="1" applyBorder="1" applyAlignment="1">
      <alignment horizontal="left"/>
    </xf>
    <xf numFmtId="0" fontId="8" fillId="3" borderId="1" xfId="0" applyFont="1" applyFill="1" applyBorder="1" applyAlignment="1">
      <alignment horizontal="left"/>
    </xf>
    <xf numFmtId="0" fontId="8" fillId="4" borderId="1" xfId="0" applyFont="1" applyFill="1" applyBorder="1" applyAlignment="1">
      <alignment horizontal="left"/>
    </xf>
    <xf numFmtId="0" fontId="5" fillId="3" borderId="1" xfId="0" applyFont="1" applyFill="1" applyBorder="1" applyAlignment="1">
      <alignment horizontal="center"/>
    </xf>
    <xf numFmtId="0" fontId="5" fillId="4" borderId="1" xfId="0" applyFont="1" applyFill="1" applyBorder="1" applyAlignment="1">
      <alignment horizontal="center"/>
    </xf>
    <xf numFmtId="0" fontId="26" fillId="2" borderId="1" xfId="0" applyFont="1" applyFill="1" applyBorder="1" applyAlignment="1">
      <alignment horizontal="center"/>
    </xf>
    <xf numFmtId="10" fontId="0" fillId="0" borderId="0" xfId="0" applyNumberFormat="1"/>
  </cellXfs>
  <cellStyles count="66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Normal" xfId="0" builtinId="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79531392"/>
        <c:axId val="79545856"/>
      </c:scatterChart>
      <c:valAx>
        <c:axId val="79531392"/>
        <c:scaling>
          <c:orientation val="minMax"/>
          <c:max val="70"/>
          <c:min val="0"/>
        </c:scaling>
        <c:delete val="0"/>
        <c:axPos val="b"/>
        <c:title>
          <c:tx>
            <c:rich>
              <a:bodyPr/>
              <a:lstStyle/>
              <a:p>
                <a:pPr>
                  <a:defRPr sz="1400"/>
                </a:pPr>
                <a:r>
                  <a:rPr lang="en-US" sz="1400"/>
                  <a:t>Beta1</a:t>
                </a:r>
              </a:p>
            </c:rich>
          </c:tx>
          <c:overlay val="0"/>
        </c:title>
        <c:majorTickMark val="out"/>
        <c:minorTickMark val="none"/>
        <c:tickLblPos val="nextTo"/>
        <c:txPr>
          <a:bodyPr/>
          <a:lstStyle/>
          <a:p>
            <a:pPr>
              <a:defRPr sz="1200"/>
            </a:pPr>
            <a:endParaRPr lang="en-US"/>
          </a:p>
        </c:txPr>
        <c:crossAx val="79545856"/>
        <c:crosses val="autoZero"/>
        <c:crossBetween val="midCat"/>
      </c:valAx>
      <c:valAx>
        <c:axId val="79545856"/>
        <c:scaling>
          <c:orientation val="minMax"/>
          <c:max val="2.2000000000000002"/>
          <c:min val="0"/>
        </c:scaling>
        <c:delete val="0"/>
        <c:axPos val="l"/>
        <c:majorGridlines/>
        <c:title>
          <c:tx>
            <c:rich>
              <a:bodyPr/>
              <a:lstStyle/>
              <a:p>
                <a:pPr>
                  <a:defRPr sz="1400"/>
                </a:pPr>
                <a:r>
                  <a:rPr lang="en-US" sz="1400"/>
                  <a:t>Solidity</a:t>
                </a:r>
              </a:p>
            </c:rich>
          </c:tx>
          <c:overlay val="0"/>
        </c:title>
        <c:numFmt formatCode="General" sourceLinked="1"/>
        <c:majorTickMark val="out"/>
        <c:minorTickMark val="none"/>
        <c:tickLblPos val="nextTo"/>
        <c:txPr>
          <a:bodyPr/>
          <a:lstStyle/>
          <a:p>
            <a:pPr>
              <a:defRPr sz="1200"/>
            </a:pPr>
            <a:endParaRPr lang="en-US"/>
          </a:p>
        </c:txPr>
        <c:crossAx val="79531392"/>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90370432"/>
        <c:axId val="90372352"/>
      </c:scatterChart>
      <c:valAx>
        <c:axId val="90370432"/>
        <c:scaling>
          <c:orientation val="minMax"/>
        </c:scaling>
        <c:delete val="0"/>
        <c:axPos val="b"/>
        <c:title>
          <c:tx>
            <c:rich>
              <a:bodyPr/>
              <a:lstStyle/>
              <a:p>
                <a:pPr>
                  <a:defRPr sz="1400"/>
                </a:pPr>
                <a:r>
                  <a:rPr lang="en-US" sz="1400"/>
                  <a:t>ID</a:t>
                </a:r>
              </a:p>
            </c:rich>
          </c:tx>
          <c:overlay val="0"/>
        </c:title>
        <c:majorTickMark val="out"/>
        <c:minorTickMark val="none"/>
        <c:tickLblPos val="nextTo"/>
        <c:txPr>
          <a:bodyPr/>
          <a:lstStyle/>
          <a:p>
            <a:pPr>
              <a:defRPr sz="1200"/>
            </a:pPr>
            <a:endParaRPr lang="en-US"/>
          </a:p>
        </c:txPr>
        <c:crossAx val="90372352"/>
        <c:crosses val="autoZero"/>
        <c:crossBetween val="midCat"/>
      </c:valAx>
      <c:valAx>
        <c:axId val="90372352"/>
        <c:scaling>
          <c:orientation val="minMax"/>
          <c:max val="1.6E-2"/>
          <c:min val="0"/>
        </c:scaling>
        <c:delete val="0"/>
        <c:axPos val="l"/>
        <c:majorGridlines/>
        <c:title>
          <c:tx>
            <c:rich>
              <a:bodyPr/>
              <a:lstStyle/>
              <a:p>
                <a:pPr>
                  <a:defRPr sz="1400"/>
                </a:pPr>
                <a:r>
                  <a:rPr lang="en-US" sz="1400"/>
                  <a:t>LER/Chord</a:t>
                </a:r>
              </a:p>
            </c:rich>
          </c:tx>
          <c:overlay val="0"/>
        </c:title>
        <c:numFmt formatCode="General" sourceLinked="1"/>
        <c:majorTickMark val="out"/>
        <c:minorTickMark val="none"/>
        <c:tickLblPos val="nextTo"/>
        <c:txPr>
          <a:bodyPr/>
          <a:lstStyle/>
          <a:p>
            <a:pPr>
              <a:defRPr sz="1200"/>
            </a:pPr>
            <a:endParaRPr lang="en-US"/>
          </a:p>
        </c:txPr>
        <c:crossAx val="90370432"/>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142875</xdr:colOff>
          <xdr:row>38</xdr:row>
          <xdr:rowOff>123825</xdr:rowOff>
        </xdr:from>
        <xdr:to>
          <xdr:col>11</xdr:col>
          <xdr:colOff>352425</xdr:colOff>
          <xdr:row>41</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466725</xdr:colOff>
          <xdr:row>0</xdr:row>
          <xdr:rowOff>85725</xdr:rowOff>
        </xdr:from>
        <xdr:to>
          <xdr:col>2</xdr:col>
          <xdr:colOff>790575</xdr:colOff>
          <xdr:row>1</xdr:row>
          <xdr:rowOff>390525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GET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38</xdr:row>
          <xdr:rowOff>66675</xdr:rowOff>
        </xdr:from>
        <xdr:to>
          <xdr:col>14</xdr:col>
          <xdr:colOff>295275</xdr:colOff>
          <xdr:row>41</xdr:row>
          <xdr:rowOff>9525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EVALUATE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523875</xdr:colOff>
          <xdr:row>38</xdr:row>
          <xdr:rowOff>66675</xdr:rowOff>
        </xdr:from>
        <xdr:to>
          <xdr:col>15</xdr:col>
          <xdr:colOff>723900</xdr:colOff>
          <xdr:row>41</xdr:row>
          <xdr:rowOff>9525</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SAVE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952500</xdr:colOff>
          <xdr:row>38</xdr:row>
          <xdr:rowOff>66675</xdr:rowOff>
        </xdr:from>
        <xdr:to>
          <xdr:col>16</xdr:col>
          <xdr:colOff>1104900</xdr:colOff>
          <xdr:row>41</xdr:row>
          <xdr:rowOff>9525</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42</xdr:row>
          <xdr:rowOff>28575</xdr:rowOff>
        </xdr:from>
        <xdr:to>
          <xdr:col>13</xdr:col>
          <xdr:colOff>352425</xdr:colOff>
          <xdr:row>46</xdr:row>
          <xdr:rowOff>104775</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SELECT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609600</xdr:colOff>
          <xdr:row>42</xdr:row>
          <xdr:rowOff>38100</xdr:rowOff>
        </xdr:from>
        <xdr:to>
          <xdr:col>14</xdr:col>
          <xdr:colOff>828675</xdr:colOff>
          <xdr:row>46</xdr:row>
          <xdr:rowOff>104775</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581025</xdr:colOff>
          <xdr:row>51</xdr:row>
          <xdr:rowOff>142875</xdr:rowOff>
        </xdr:from>
        <xdr:to>
          <xdr:col>6</xdr:col>
          <xdr:colOff>9525</xdr:colOff>
          <xdr:row>53</xdr:row>
          <xdr:rowOff>409575</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COMBINE DATA 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47</xdr:row>
          <xdr:rowOff>0</xdr:rowOff>
        </xdr:from>
        <xdr:to>
          <xdr:col>21</xdr:col>
          <xdr:colOff>1057275</xdr:colOff>
          <xdr:row>51</xdr:row>
          <xdr:rowOff>9525</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SAVE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904875</xdr:colOff>
          <xdr:row>39</xdr:row>
          <xdr:rowOff>485775</xdr:rowOff>
        </xdr:from>
        <xdr:to>
          <xdr:col>23</xdr:col>
          <xdr:colOff>914400</xdr:colOff>
          <xdr:row>43</xdr:row>
          <xdr:rowOff>152400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REMOVE UNITS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142875</xdr:rowOff>
        </xdr:from>
        <xdr:to>
          <xdr:col>12</xdr:col>
          <xdr:colOff>695325</xdr:colOff>
          <xdr:row>4</xdr:row>
          <xdr:rowOff>38100</xdr:rowOff>
        </xdr:to>
        <xdr:sp macro="" textlink="">
          <xdr:nvSpPr>
            <xdr:cNvPr id="2077" name="Button 29" hidden="1">
              <a:extLst>
                <a:ext uri="{63B3BB69-23CF-44E3-9099-C40C66FF867C}">
                  <a14:compatExt spid="_x0000_s207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sng" strike="noStrike" baseline="0">
                  <a:solidFill>
                    <a:srgbClr val="000000"/>
                  </a:solidFill>
                  <a:latin typeface="Arial"/>
                  <a:cs typeface="Arial"/>
                </a:rPr>
                <a:t>Press to Clear</a:t>
              </a:r>
            </a:p>
            <a:p>
              <a:pPr algn="ctr" rtl="0">
                <a:defRPr sz="1000"/>
              </a:pPr>
              <a:r>
                <a:rPr lang="en-US" sz="1400" b="1" i="1" u="none" strike="noStrike" baseline="0">
                  <a:solidFill>
                    <a:srgbClr val="000000"/>
                  </a:solidFill>
                  <a:latin typeface="Arial"/>
                  <a:cs typeface="Arial"/>
                </a:rPr>
                <a:t>Symbol Control, Line Control,           Legend Control &amp; Variable Control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12</xdr:col>
      <xdr:colOff>155575</xdr:colOff>
      <xdr:row>21</xdr:row>
      <xdr:rowOff>117475</xdr:rowOff>
    </xdr:to>
    <xdr:graphicFrame macro="">
      <xdr:nvGraphicFramePr>
        <xdr:cNvPr id="2" name="Plo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282575</xdr:colOff>
      <xdr:row>0</xdr:row>
      <xdr:rowOff>127000</xdr:rowOff>
    </xdr:from>
    <xdr:to>
      <xdr:col>23</xdr:col>
      <xdr:colOff>454025</xdr:colOff>
      <xdr:row>21</xdr:row>
      <xdr:rowOff>117475</xdr:rowOff>
    </xdr:to>
    <xdr:graphicFrame macro="">
      <xdr:nvGraphicFramePr>
        <xdr:cNvPr id="3" name="Plot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10</xdr:row>
          <xdr:rowOff>0</xdr:rowOff>
        </xdr:from>
        <xdr:to>
          <xdr:col>2</xdr:col>
          <xdr:colOff>733425</xdr:colOff>
          <xdr:row>10</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Show Colors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41"/>
  </sheetPr>
  <dimension ref="A1:BL87"/>
  <sheetViews>
    <sheetView zoomScale="55" zoomScaleNormal="55" zoomScalePageLayoutView="50" workbookViewId="0">
      <selection activeCell="C29" sqref="C29"/>
    </sheetView>
  </sheetViews>
  <sheetFormatPr defaultColWidth="8.85546875" defaultRowHeight="12.75"/>
  <cols>
    <col min="1" max="1" width="25.7109375" customWidth="1"/>
    <col min="2" max="51" width="19.28515625" customWidth="1"/>
    <col min="52" max="52" width="40.42578125" customWidth="1"/>
  </cols>
  <sheetData>
    <row r="1" spans="1:64" ht="15.75" thickBot="1">
      <c r="A1" s="3"/>
      <c r="B1" s="3"/>
      <c r="C1" s="3"/>
      <c r="D1" s="3"/>
      <c r="E1" s="3"/>
      <c r="F1" s="3"/>
      <c r="G1" s="3"/>
      <c r="H1" s="3"/>
      <c r="I1" s="3"/>
      <c r="J1" s="3"/>
      <c r="K1" s="3"/>
      <c r="L1" s="6"/>
      <c r="M1" s="6"/>
      <c r="N1" s="6"/>
      <c r="O1" s="6"/>
      <c r="P1" s="6"/>
      <c r="Q1" s="6"/>
      <c r="R1" s="6"/>
      <c r="S1" s="6"/>
      <c r="T1" s="6"/>
      <c r="U1" s="6"/>
      <c r="V1" s="6"/>
      <c r="W1" s="6"/>
      <c r="X1" s="6"/>
      <c r="Y1" s="6"/>
      <c r="Z1" s="6"/>
      <c r="AA1" s="6"/>
      <c r="AB1" s="6"/>
      <c r="AC1" s="6"/>
      <c r="AD1" s="6"/>
      <c r="AE1" s="6"/>
      <c r="AF1" s="6"/>
      <c r="AG1" s="6"/>
      <c r="AH1" s="6"/>
      <c r="AI1" s="6"/>
      <c r="AJ1" s="6"/>
      <c r="AK1" s="6"/>
      <c r="AL1" s="6"/>
      <c r="AM1" s="80"/>
      <c r="AN1" s="80"/>
      <c r="AO1" s="80"/>
      <c r="AP1" s="80"/>
      <c r="AQ1" s="80"/>
      <c r="AR1" s="80"/>
      <c r="AS1" s="80"/>
      <c r="AT1" s="80"/>
      <c r="AU1" s="80"/>
      <c r="AV1" s="80"/>
      <c r="AW1" s="80"/>
      <c r="AX1" s="80"/>
      <c r="AY1" s="80"/>
    </row>
    <row r="2" spans="1:64" ht="53.25" customHeight="1" thickBot="1">
      <c r="A2" s="174" t="s">
        <v>353</v>
      </c>
      <c r="B2" s="3"/>
      <c r="C2" s="3"/>
      <c r="D2" s="3"/>
      <c r="F2" s="148"/>
      <c r="G2" s="270" t="s">
        <v>623</v>
      </c>
      <c r="H2" s="271"/>
      <c r="I2" s="272"/>
      <c r="M2" s="6"/>
      <c r="N2" s="6"/>
      <c r="O2" s="6"/>
      <c r="P2" s="6"/>
      <c r="Q2" s="6"/>
      <c r="R2" s="6"/>
      <c r="S2" s="6"/>
      <c r="T2" s="6"/>
      <c r="U2" s="6"/>
      <c r="V2" s="6"/>
      <c r="W2" s="6"/>
      <c r="X2" s="6"/>
      <c r="Y2" s="6"/>
      <c r="Z2" s="6"/>
      <c r="AA2" s="6"/>
      <c r="AB2" s="6"/>
      <c r="AC2" s="6"/>
      <c r="AD2" s="6"/>
      <c r="AE2" s="6"/>
      <c r="AF2" s="6"/>
      <c r="AG2" s="6"/>
      <c r="AH2" s="6"/>
      <c r="AI2" s="6"/>
      <c r="AJ2" s="6"/>
      <c r="AK2" s="6"/>
      <c r="AL2" s="6"/>
      <c r="AM2" s="80"/>
      <c r="AN2" s="80"/>
      <c r="AO2" s="80"/>
      <c r="AP2" s="80"/>
      <c r="AQ2" s="80"/>
      <c r="AR2" s="80"/>
      <c r="AS2" s="80"/>
      <c r="AT2" s="80"/>
      <c r="AU2" s="80"/>
      <c r="AV2" s="80"/>
      <c r="AW2" s="80"/>
      <c r="AX2" s="80"/>
      <c r="AY2" s="80"/>
    </row>
    <row r="3" spans="1:64" ht="18" customHeight="1">
      <c r="A3" s="142" t="s">
        <v>3</v>
      </c>
      <c r="B3" s="90">
        <v>1</v>
      </c>
      <c r="C3" s="90">
        <v>2</v>
      </c>
      <c r="D3" s="90">
        <v>3</v>
      </c>
      <c r="E3" s="90">
        <v>4</v>
      </c>
      <c r="F3" s="90">
        <v>5</v>
      </c>
      <c r="G3" s="145">
        <v>6</v>
      </c>
      <c r="H3" s="145">
        <v>7</v>
      </c>
      <c r="I3" s="145">
        <v>8</v>
      </c>
      <c r="J3" s="90">
        <v>9</v>
      </c>
      <c r="K3" s="90">
        <v>10</v>
      </c>
      <c r="L3" s="90">
        <v>11</v>
      </c>
      <c r="M3" s="90">
        <v>12</v>
      </c>
      <c r="N3" s="90">
        <v>13</v>
      </c>
      <c r="O3" s="90">
        <v>14</v>
      </c>
      <c r="P3" s="90">
        <v>15</v>
      </c>
      <c r="Q3" s="90">
        <v>16</v>
      </c>
      <c r="R3" s="90">
        <v>17</v>
      </c>
      <c r="S3" s="90">
        <v>18</v>
      </c>
      <c r="T3" s="90">
        <v>19</v>
      </c>
      <c r="U3" s="90">
        <v>20</v>
      </c>
      <c r="V3" s="90">
        <v>21</v>
      </c>
      <c r="W3" s="90">
        <v>22</v>
      </c>
      <c r="X3" s="90">
        <v>23</v>
      </c>
      <c r="Y3" s="90">
        <v>24</v>
      </c>
      <c r="Z3" s="90">
        <v>25</v>
      </c>
      <c r="AA3" s="90">
        <v>26</v>
      </c>
      <c r="AB3" s="90">
        <v>27</v>
      </c>
      <c r="AC3" s="90">
        <v>28</v>
      </c>
      <c r="AD3" s="90">
        <v>29</v>
      </c>
      <c r="AE3" s="90">
        <v>30</v>
      </c>
      <c r="AF3" s="90">
        <v>31</v>
      </c>
      <c r="AG3" s="90">
        <v>32</v>
      </c>
      <c r="AH3" s="90">
        <v>33</v>
      </c>
      <c r="AI3" s="90">
        <v>34</v>
      </c>
      <c r="AJ3" s="90">
        <v>35</v>
      </c>
      <c r="AK3" s="90">
        <v>36</v>
      </c>
      <c r="AL3" s="90">
        <v>37</v>
      </c>
      <c r="AM3" s="90">
        <v>38</v>
      </c>
      <c r="AN3" s="90">
        <v>39</v>
      </c>
      <c r="AO3" s="90">
        <v>40</v>
      </c>
      <c r="AP3" s="90">
        <v>41</v>
      </c>
      <c r="AQ3" s="90">
        <v>42</v>
      </c>
      <c r="AR3" s="90">
        <v>43</v>
      </c>
      <c r="AS3" s="90">
        <v>44</v>
      </c>
      <c r="AT3" s="90">
        <v>45</v>
      </c>
      <c r="AU3" s="90">
        <v>46</v>
      </c>
      <c r="AV3" s="90">
        <v>47</v>
      </c>
      <c r="AW3" s="90">
        <v>48</v>
      </c>
      <c r="AX3" s="90">
        <v>49</v>
      </c>
      <c r="AY3" s="90">
        <v>50</v>
      </c>
      <c r="AZ3" s="83" t="s">
        <v>31</v>
      </c>
      <c r="BL3">
        <f>BK3</f>
        <v>0</v>
      </c>
    </row>
    <row r="4" spans="1:64" ht="48.75" customHeight="1">
      <c r="A4" s="171" t="s">
        <v>375</v>
      </c>
      <c r="B4" s="24" t="s">
        <v>507</v>
      </c>
      <c r="C4" s="24" t="s">
        <v>487</v>
      </c>
      <c r="D4" s="24" t="s">
        <v>488</v>
      </c>
      <c r="E4" s="24" t="s">
        <v>489</v>
      </c>
      <c r="F4" s="24" t="s">
        <v>490</v>
      </c>
      <c r="G4" s="24" t="s">
        <v>491</v>
      </c>
      <c r="H4" s="24" t="s">
        <v>492</v>
      </c>
      <c r="I4" s="24" t="s">
        <v>493</v>
      </c>
      <c r="J4" s="24" t="s">
        <v>494</v>
      </c>
      <c r="K4" s="24" t="s">
        <v>495</v>
      </c>
      <c r="L4" s="24" t="s">
        <v>496</v>
      </c>
      <c r="M4" s="24" t="s">
        <v>497</v>
      </c>
      <c r="N4" s="24" t="s">
        <v>498</v>
      </c>
      <c r="O4" s="24" t="s">
        <v>499</v>
      </c>
      <c r="P4" s="24" t="s">
        <v>500</v>
      </c>
      <c r="Q4" s="24" t="s">
        <v>509</v>
      </c>
      <c r="R4" s="24" t="s">
        <v>533</v>
      </c>
      <c r="S4" s="24" t="s">
        <v>594</v>
      </c>
      <c r="T4" s="24"/>
      <c r="U4" s="24"/>
      <c r="V4" s="24"/>
      <c r="W4" s="24"/>
      <c r="X4" s="24"/>
      <c r="Y4" s="24"/>
      <c r="Z4" s="24"/>
      <c r="AA4" s="24"/>
      <c r="AB4" s="24"/>
      <c r="AC4" s="24"/>
      <c r="AD4" s="24"/>
      <c r="AE4" s="24"/>
      <c r="AF4" s="13"/>
      <c r="AG4" s="13"/>
      <c r="AH4" s="13"/>
      <c r="AI4" s="13"/>
      <c r="AJ4" s="13"/>
      <c r="AK4" s="13"/>
      <c r="AL4" s="13"/>
      <c r="AM4" s="13"/>
      <c r="AN4" s="13"/>
      <c r="AO4" s="13"/>
      <c r="AP4" s="13"/>
      <c r="AQ4" s="13"/>
      <c r="AR4" s="13"/>
      <c r="AS4" s="13"/>
      <c r="AT4" s="13"/>
      <c r="AU4" s="13"/>
      <c r="AV4" s="13"/>
      <c r="AW4" s="13"/>
      <c r="AX4" s="13"/>
      <c r="AY4" s="13"/>
      <c r="BL4">
        <f>BK4</f>
        <v>0</v>
      </c>
    </row>
    <row r="5" spans="1:64" ht="30" customHeight="1">
      <c r="A5" s="172" t="s">
        <v>5</v>
      </c>
      <c r="B5" s="24"/>
      <c r="C5" s="24"/>
      <c r="D5" s="24"/>
      <c r="E5" s="24"/>
      <c r="F5" s="24"/>
      <c r="G5" s="24"/>
      <c r="H5" s="24"/>
      <c r="I5" s="24"/>
      <c r="J5" s="24"/>
      <c r="K5" s="24"/>
      <c r="L5" s="24"/>
      <c r="M5" s="24"/>
      <c r="N5" s="24"/>
      <c r="O5" s="24"/>
      <c r="P5" s="24"/>
      <c r="Q5" s="13"/>
      <c r="R5" s="13"/>
      <c r="S5" s="13"/>
      <c r="T5" s="13"/>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row>
    <row r="6" spans="1:64" ht="18" customHeight="1">
      <c r="A6" s="171" t="s">
        <v>376</v>
      </c>
      <c r="B6" s="118">
        <f t="shared" ref="B6:AG6" ca="1" si="0">IF(B4="","",IF(B4=" ","",IF(INDIRECT(B76&amp;$B$54)=0,IF(INDIRECT(B76&amp;$B$54)&lt;&gt;"",0,1),1)))</f>
        <v>0</v>
      </c>
      <c r="C6" s="118">
        <f t="shared" ca="1" si="0"/>
        <v>1</v>
      </c>
      <c r="D6" s="118">
        <f t="shared" ca="1" si="0"/>
        <v>1</v>
      </c>
      <c r="E6" s="118">
        <f t="shared" ca="1" si="0"/>
        <v>0</v>
      </c>
      <c r="F6" s="118">
        <f t="shared" ca="1" si="0"/>
        <v>0</v>
      </c>
      <c r="G6" s="118">
        <f t="shared" ca="1" si="0"/>
        <v>0</v>
      </c>
      <c r="H6" s="118">
        <f t="shared" ca="1" si="0"/>
        <v>0</v>
      </c>
      <c r="I6" s="118">
        <f t="shared" ca="1" si="0"/>
        <v>0</v>
      </c>
      <c r="J6" s="118">
        <f t="shared" ca="1" si="0"/>
        <v>0</v>
      </c>
      <c r="K6" s="118">
        <f t="shared" ca="1" si="0"/>
        <v>0</v>
      </c>
      <c r="L6" s="118">
        <f t="shared" ca="1" si="0"/>
        <v>0</v>
      </c>
      <c r="M6" s="118">
        <f t="shared" ca="1" si="0"/>
        <v>0</v>
      </c>
      <c r="N6" s="118">
        <f t="shared" ca="1" si="0"/>
        <v>0</v>
      </c>
      <c r="O6" s="118">
        <f t="shared" ca="1" si="0"/>
        <v>0</v>
      </c>
      <c r="P6" s="118">
        <f t="shared" ca="1" si="0"/>
        <v>0</v>
      </c>
      <c r="Q6" s="118">
        <f t="shared" ca="1" si="0"/>
        <v>0</v>
      </c>
      <c r="R6" s="118">
        <f t="shared" ca="1" si="0"/>
        <v>0</v>
      </c>
      <c r="S6" s="118">
        <f t="shared" ca="1" si="0"/>
        <v>0</v>
      </c>
      <c r="T6" s="118" t="str">
        <f t="shared" ca="1" si="0"/>
        <v/>
      </c>
      <c r="U6" s="118" t="str">
        <f t="shared" ca="1" si="0"/>
        <v/>
      </c>
      <c r="V6" s="118" t="str">
        <f t="shared" ca="1" si="0"/>
        <v/>
      </c>
      <c r="W6" s="118" t="str">
        <f t="shared" ca="1" si="0"/>
        <v/>
      </c>
      <c r="X6" s="118" t="str">
        <f t="shared" ca="1" si="0"/>
        <v/>
      </c>
      <c r="Y6" s="118" t="str">
        <f t="shared" ca="1" si="0"/>
        <v/>
      </c>
      <c r="Z6" s="118" t="str">
        <f t="shared" ca="1" si="0"/>
        <v/>
      </c>
      <c r="AA6" s="118" t="str">
        <f t="shared" ca="1" si="0"/>
        <v/>
      </c>
      <c r="AB6" s="118" t="str">
        <f t="shared" ca="1" si="0"/>
        <v/>
      </c>
      <c r="AC6" s="118" t="str">
        <f t="shared" ca="1" si="0"/>
        <v/>
      </c>
      <c r="AD6" s="118" t="str">
        <f t="shared" ca="1" si="0"/>
        <v/>
      </c>
      <c r="AE6" s="118" t="str">
        <f t="shared" ca="1" si="0"/>
        <v/>
      </c>
      <c r="AF6" s="118" t="str">
        <f t="shared" ca="1" si="0"/>
        <v/>
      </c>
      <c r="AG6" s="118" t="str">
        <f t="shared" ca="1" si="0"/>
        <v/>
      </c>
      <c r="AH6" s="118" t="str">
        <f t="shared" ref="AH6:AY6" ca="1" si="1">IF(AH4="","",IF(AH4=" ","",IF(INDIRECT(AH76&amp;$B$54)=0,IF(INDIRECT(AH76&amp;$B$54)&lt;&gt;"",0,1),1)))</f>
        <v/>
      </c>
      <c r="AI6" s="118" t="str">
        <f t="shared" ca="1" si="1"/>
        <v/>
      </c>
      <c r="AJ6" s="118" t="str">
        <f t="shared" ca="1" si="1"/>
        <v/>
      </c>
      <c r="AK6" s="118" t="str">
        <f t="shared" ca="1" si="1"/>
        <v/>
      </c>
      <c r="AL6" s="118" t="str">
        <f t="shared" ca="1" si="1"/>
        <v/>
      </c>
      <c r="AM6" s="118" t="str">
        <f t="shared" ca="1" si="1"/>
        <v/>
      </c>
      <c r="AN6" s="118" t="str">
        <f t="shared" ca="1" si="1"/>
        <v/>
      </c>
      <c r="AO6" s="118" t="str">
        <f t="shared" ca="1" si="1"/>
        <v/>
      </c>
      <c r="AP6" s="118" t="str">
        <f t="shared" ca="1" si="1"/>
        <v/>
      </c>
      <c r="AQ6" s="118" t="str">
        <f t="shared" ca="1" si="1"/>
        <v/>
      </c>
      <c r="AR6" s="118" t="str">
        <f t="shared" ca="1" si="1"/>
        <v/>
      </c>
      <c r="AS6" s="118" t="str">
        <f t="shared" ca="1" si="1"/>
        <v/>
      </c>
      <c r="AT6" s="118" t="str">
        <f t="shared" ca="1" si="1"/>
        <v/>
      </c>
      <c r="AU6" s="118" t="str">
        <f t="shared" ca="1" si="1"/>
        <v/>
      </c>
      <c r="AV6" s="118" t="str">
        <f t="shared" ca="1" si="1"/>
        <v/>
      </c>
      <c r="AW6" s="118" t="str">
        <f t="shared" ca="1" si="1"/>
        <v/>
      </c>
      <c r="AX6" s="118" t="str">
        <f t="shared" ca="1" si="1"/>
        <v/>
      </c>
      <c r="AY6" s="118" t="str">
        <f t="shared" ca="1" si="1"/>
        <v/>
      </c>
    </row>
    <row r="7" spans="1:64" ht="30" customHeight="1">
      <c r="A7" s="173" t="s">
        <v>2</v>
      </c>
      <c r="B7" s="24" t="s">
        <v>410</v>
      </c>
      <c r="C7" s="3"/>
      <c r="D7" s="3"/>
      <c r="E7" s="3"/>
      <c r="F7" s="3"/>
      <c r="G7" s="3"/>
      <c r="H7" s="3"/>
      <c r="I7" s="3"/>
      <c r="J7" s="3"/>
      <c r="K7" s="3"/>
      <c r="L7" s="3"/>
      <c r="M7" s="3"/>
      <c r="N7" s="3"/>
      <c r="O7" s="3"/>
      <c r="P7" s="3"/>
      <c r="Q7" s="3"/>
      <c r="R7" s="3"/>
      <c r="S7" s="3"/>
      <c r="T7" s="3"/>
      <c r="U7" s="6"/>
      <c r="V7" s="6"/>
      <c r="W7" s="6"/>
      <c r="X7" s="6"/>
      <c r="Y7" s="6"/>
      <c r="Z7" s="6"/>
      <c r="AA7" s="6"/>
      <c r="AB7" s="6"/>
      <c r="AC7" s="6"/>
      <c r="AD7" s="6"/>
      <c r="AE7" s="6"/>
      <c r="AF7" s="6"/>
      <c r="AG7" s="6"/>
      <c r="AH7" s="6"/>
      <c r="AI7" s="6"/>
      <c r="AJ7" s="6"/>
      <c r="AK7" s="6"/>
      <c r="AL7" s="6"/>
      <c r="AM7" s="80"/>
      <c r="AN7" s="80"/>
      <c r="AO7" s="80"/>
      <c r="AP7" s="80"/>
      <c r="AQ7" s="80"/>
      <c r="AR7" s="80"/>
      <c r="AS7" s="80"/>
      <c r="AT7" s="80"/>
      <c r="AU7" s="80"/>
      <c r="AV7" s="80"/>
      <c r="AW7" s="80"/>
      <c r="AX7" s="80"/>
      <c r="AY7" s="80"/>
    </row>
    <row r="8" spans="1:64" s="2" customFormat="1" ht="15" customHeight="1" thickBot="1">
      <c r="A8" s="4"/>
      <c r="B8" s="5"/>
      <c r="C8" s="5"/>
      <c r="D8" s="5"/>
      <c r="E8" s="5"/>
      <c r="F8" s="141"/>
      <c r="G8" s="141"/>
      <c r="H8" s="141"/>
      <c r="I8" s="141"/>
      <c r="J8" s="5"/>
      <c r="K8" s="5"/>
      <c r="L8" s="5"/>
      <c r="M8" s="5"/>
      <c r="N8" s="5"/>
      <c r="O8" s="5"/>
      <c r="P8" s="5"/>
      <c r="Q8" s="5"/>
      <c r="R8" s="5"/>
      <c r="S8" s="5"/>
      <c r="T8" s="5"/>
      <c r="U8" s="5"/>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1"/>
      <c r="AY8" s="81"/>
    </row>
    <row r="9" spans="1:64" ht="30" customHeight="1" thickBot="1">
      <c r="A9" s="175" t="s">
        <v>352</v>
      </c>
      <c r="B9" s="3"/>
      <c r="C9" s="3"/>
      <c r="D9" s="3"/>
      <c r="E9" s="3"/>
      <c r="F9" s="3"/>
      <c r="G9" s="3"/>
      <c r="H9" s="3"/>
      <c r="I9" s="3"/>
      <c r="J9" s="3"/>
      <c r="K9" s="3"/>
      <c r="L9" s="6"/>
      <c r="M9" s="6"/>
      <c r="N9" s="6"/>
      <c r="O9" s="6"/>
      <c r="P9" s="6"/>
      <c r="Q9" s="6"/>
      <c r="R9" s="6"/>
      <c r="S9" s="6"/>
      <c r="T9" s="6"/>
      <c r="U9" s="6"/>
      <c r="V9" s="6"/>
      <c r="W9" s="6"/>
      <c r="X9" s="6"/>
      <c r="Y9" s="6"/>
      <c r="Z9" s="6"/>
      <c r="AA9" s="6"/>
      <c r="AB9" s="6"/>
      <c r="AC9" s="6"/>
      <c r="AD9" s="6"/>
      <c r="AE9" s="6"/>
      <c r="AF9" s="6"/>
      <c r="AG9" s="6"/>
      <c r="AH9" s="6"/>
      <c r="AI9" s="6"/>
      <c r="AJ9" s="6"/>
      <c r="AK9" s="6"/>
      <c r="AL9" s="6"/>
      <c r="AM9" s="80"/>
      <c r="AN9" s="80"/>
      <c r="AO9" s="80"/>
      <c r="AP9" s="80"/>
      <c r="AQ9" s="80"/>
      <c r="AR9" s="80"/>
      <c r="AS9" s="80"/>
      <c r="AT9" s="80"/>
      <c r="AU9" s="80"/>
      <c r="AV9" s="80"/>
      <c r="AW9" s="80"/>
      <c r="AX9" s="80"/>
      <c r="AY9" s="80"/>
    </row>
    <row r="10" spans="1:64" ht="18" customHeight="1">
      <c r="A10" s="140" t="s">
        <v>0</v>
      </c>
      <c r="B10" s="91" t="s">
        <v>73</v>
      </c>
      <c r="C10" s="91" t="s">
        <v>74</v>
      </c>
      <c r="D10" s="91" t="s">
        <v>75</v>
      </c>
      <c r="E10" s="91" t="s">
        <v>76</v>
      </c>
      <c r="F10" s="91" t="s">
        <v>77</v>
      </c>
      <c r="G10" s="91" t="s">
        <v>78</v>
      </c>
      <c r="H10" s="91" t="s">
        <v>79</v>
      </c>
      <c r="I10" s="91" t="s">
        <v>80</v>
      </c>
      <c r="J10" s="91" t="s">
        <v>81</v>
      </c>
      <c r="K10" s="91" t="s">
        <v>82</v>
      </c>
      <c r="L10" s="6"/>
      <c r="M10" s="26" t="s">
        <v>0</v>
      </c>
      <c r="N10" s="91" t="s">
        <v>173</v>
      </c>
      <c r="O10" s="91" t="s">
        <v>174</v>
      </c>
      <c r="P10" s="91" t="s">
        <v>175</v>
      </c>
      <c r="Q10" s="91" t="s">
        <v>176</v>
      </c>
      <c r="R10" s="91" t="s">
        <v>177</v>
      </c>
      <c r="S10" s="91" t="s">
        <v>178</v>
      </c>
      <c r="T10" s="91" t="s">
        <v>179</v>
      </c>
      <c r="U10" s="91" t="s">
        <v>180</v>
      </c>
      <c r="V10" s="91" t="s">
        <v>181</v>
      </c>
      <c r="W10" s="91" t="s">
        <v>182</v>
      </c>
      <c r="X10" s="6"/>
      <c r="Y10" s="26" t="s">
        <v>0</v>
      </c>
      <c r="Z10" s="91" t="s">
        <v>273</v>
      </c>
      <c r="AA10" s="91" t="s">
        <v>274</v>
      </c>
      <c r="AB10" s="91" t="s">
        <v>275</v>
      </c>
      <c r="AC10" s="91" t="s">
        <v>276</v>
      </c>
      <c r="AD10" s="91" t="s">
        <v>277</v>
      </c>
      <c r="AE10" s="91" t="s">
        <v>278</v>
      </c>
      <c r="AF10" s="91" t="s">
        <v>279</v>
      </c>
      <c r="AG10" s="91" t="s">
        <v>280</v>
      </c>
      <c r="AH10" s="91" t="s">
        <v>281</v>
      </c>
      <c r="AI10" s="91" t="s">
        <v>282</v>
      </c>
      <c r="AJ10" s="6"/>
      <c r="AK10" s="6"/>
      <c r="AL10" s="6"/>
      <c r="AM10" s="80"/>
      <c r="AN10" s="80"/>
      <c r="AO10" s="80"/>
      <c r="AP10" s="80"/>
      <c r="AQ10" s="80"/>
      <c r="AR10" s="80"/>
      <c r="AS10" s="80"/>
      <c r="AT10" s="80"/>
      <c r="AU10" s="80"/>
      <c r="AV10" s="80"/>
      <c r="AW10" s="80"/>
      <c r="AX10" s="80"/>
      <c r="AY10" s="80"/>
    </row>
    <row r="11" spans="1:64" s="1" customFormat="1" ht="30" customHeight="1">
      <c r="A11" s="177" t="s">
        <v>1</v>
      </c>
      <c r="B11" s="133" t="s">
        <v>415</v>
      </c>
      <c r="C11" s="133" t="s">
        <v>416</v>
      </c>
      <c r="D11" s="133" t="s">
        <v>417</v>
      </c>
      <c r="E11" s="133" t="s">
        <v>439</v>
      </c>
      <c r="F11" s="133" t="s">
        <v>418</v>
      </c>
      <c r="G11" s="133" t="s">
        <v>419</v>
      </c>
      <c r="H11" s="133" t="s">
        <v>420</v>
      </c>
      <c r="I11" s="133" t="s">
        <v>601</v>
      </c>
      <c r="J11" s="133" t="s">
        <v>440</v>
      </c>
      <c r="K11" s="133" t="s">
        <v>421</v>
      </c>
      <c r="L11" s="8"/>
      <c r="M11" s="27" t="s">
        <v>1</v>
      </c>
      <c r="N11" s="133"/>
      <c r="O11" s="133"/>
      <c r="P11" s="133"/>
      <c r="Q11" s="133"/>
      <c r="R11" s="133"/>
      <c r="S11" s="133"/>
      <c r="T11" s="133"/>
      <c r="U11" s="133"/>
      <c r="V11" s="133"/>
      <c r="W11" s="133"/>
      <c r="X11" s="8"/>
      <c r="Y11" s="27" t="s">
        <v>1</v>
      </c>
      <c r="Z11" s="133"/>
      <c r="AA11" s="133"/>
      <c r="AB11" s="133"/>
      <c r="AC11" s="133"/>
      <c r="AD11" s="133"/>
      <c r="AE11" s="133"/>
      <c r="AF11" s="133"/>
      <c r="AG11" s="133"/>
      <c r="AH11" s="133"/>
      <c r="AI11" s="133"/>
      <c r="AJ11" s="8"/>
      <c r="AK11" s="8"/>
      <c r="AL11" s="8"/>
      <c r="AM11" s="8"/>
      <c r="AN11" s="8"/>
      <c r="AO11" s="8"/>
      <c r="AP11" s="8"/>
      <c r="AQ11" s="8"/>
      <c r="AR11" s="8"/>
      <c r="AS11" s="8"/>
      <c r="AT11" s="8"/>
      <c r="AU11" s="8"/>
      <c r="AV11" s="8"/>
      <c r="AW11" s="8"/>
      <c r="AX11" s="8"/>
      <c r="AY11" s="8"/>
    </row>
    <row r="12" spans="1:64" ht="9.75" customHeight="1">
      <c r="A12" s="15"/>
      <c r="B12" s="92"/>
      <c r="C12" s="92"/>
      <c r="D12" s="92"/>
      <c r="E12" s="92"/>
      <c r="F12" s="92"/>
      <c r="G12" s="92"/>
      <c r="H12" s="92"/>
      <c r="I12" s="92"/>
      <c r="J12" s="92"/>
      <c r="K12" s="92"/>
      <c r="L12" s="6"/>
      <c r="M12" s="15"/>
      <c r="N12" s="92"/>
      <c r="O12" s="92"/>
      <c r="P12" s="92"/>
      <c r="Q12" s="92"/>
      <c r="R12" s="92"/>
      <c r="S12" s="92"/>
      <c r="T12" s="92"/>
      <c r="U12" s="92"/>
      <c r="V12" s="92"/>
      <c r="W12" s="92"/>
      <c r="X12" s="6"/>
      <c r="Y12" s="15"/>
      <c r="Z12" s="92"/>
      <c r="AA12" s="92"/>
      <c r="AB12" s="92"/>
      <c r="AC12" s="92"/>
      <c r="AD12" s="92"/>
      <c r="AE12" s="92"/>
      <c r="AF12" s="92"/>
      <c r="AG12" s="92"/>
      <c r="AH12" s="92"/>
      <c r="AI12" s="92"/>
      <c r="AJ12" s="6"/>
      <c r="AK12" s="6"/>
      <c r="AL12" s="6"/>
      <c r="AM12" s="80"/>
      <c r="AN12" s="80"/>
      <c r="AO12" s="80"/>
      <c r="AP12" s="80"/>
      <c r="AQ12" s="80"/>
      <c r="AR12" s="80"/>
      <c r="AS12" s="80"/>
      <c r="AT12" s="80"/>
      <c r="AU12" s="80"/>
      <c r="AV12" s="80"/>
      <c r="AW12" s="80"/>
      <c r="AX12" s="80"/>
      <c r="AY12" s="80"/>
    </row>
    <row r="13" spans="1:64" ht="18" customHeight="1">
      <c r="A13" s="26" t="s">
        <v>0</v>
      </c>
      <c r="B13" s="91" t="s">
        <v>83</v>
      </c>
      <c r="C13" s="91" t="s">
        <v>84</v>
      </c>
      <c r="D13" s="91" t="s">
        <v>85</v>
      </c>
      <c r="E13" s="91" t="s">
        <v>86</v>
      </c>
      <c r="F13" s="91" t="s">
        <v>87</v>
      </c>
      <c r="G13" s="91" t="s">
        <v>88</v>
      </c>
      <c r="H13" s="91" t="s">
        <v>89</v>
      </c>
      <c r="I13" s="91" t="s">
        <v>90</v>
      </c>
      <c r="J13" s="91" t="s">
        <v>91</v>
      </c>
      <c r="K13" s="91" t="s">
        <v>92</v>
      </c>
      <c r="L13" s="6"/>
      <c r="M13" s="26" t="s">
        <v>0</v>
      </c>
      <c r="N13" s="91" t="s">
        <v>183</v>
      </c>
      <c r="O13" s="91" t="s">
        <v>184</v>
      </c>
      <c r="P13" s="91" t="s">
        <v>185</v>
      </c>
      <c r="Q13" s="91" t="s">
        <v>186</v>
      </c>
      <c r="R13" s="91" t="s">
        <v>187</v>
      </c>
      <c r="S13" s="91" t="s">
        <v>188</v>
      </c>
      <c r="T13" s="91" t="s">
        <v>189</v>
      </c>
      <c r="U13" s="91" t="s">
        <v>190</v>
      </c>
      <c r="V13" s="91" t="s">
        <v>191</v>
      </c>
      <c r="W13" s="91" t="s">
        <v>192</v>
      </c>
      <c r="X13" s="6"/>
      <c r="Y13" s="26" t="s">
        <v>0</v>
      </c>
      <c r="Z13" s="91" t="s">
        <v>283</v>
      </c>
      <c r="AA13" s="91" t="s">
        <v>284</v>
      </c>
      <c r="AB13" s="91" t="s">
        <v>285</v>
      </c>
      <c r="AC13" s="91" t="s">
        <v>286</v>
      </c>
      <c r="AD13" s="91" t="s">
        <v>287</v>
      </c>
      <c r="AE13" s="91" t="s">
        <v>288</v>
      </c>
      <c r="AF13" s="91" t="s">
        <v>289</v>
      </c>
      <c r="AG13" s="91" t="s">
        <v>290</v>
      </c>
      <c r="AH13" s="91" t="s">
        <v>291</v>
      </c>
      <c r="AI13" s="91" t="s">
        <v>292</v>
      </c>
      <c r="AJ13" s="6"/>
      <c r="AK13" s="6"/>
      <c r="AL13" s="6"/>
      <c r="AM13" s="80"/>
      <c r="AN13" s="80"/>
      <c r="AO13" s="80"/>
      <c r="AP13" s="80"/>
      <c r="AQ13" s="80"/>
      <c r="AR13" s="80"/>
      <c r="AS13" s="80"/>
      <c r="AT13" s="80"/>
      <c r="AU13" s="80"/>
      <c r="AV13" s="80"/>
      <c r="AW13" s="80"/>
      <c r="AX13" s="80"/>
      <c r="AY13" s="80"/>
    </row>
    <row r="14" spans="1:64" s="1" customFormat="1" ht="30" customHeight="1">
      <c r="A14" s="177" t="s">
        <v>1</v>
      </c>
      <c r="B14" s="133" t="s">
        <v>422</v>
      </c>
      <c r="C14" s="133" t="s">
        <v>438</v>
      </c>
      <c r="D14" s="133" t="s">
        <v>441</v>
      </c>
      <c r="E14" s="133" t="s">
        <v>442</v>
      </c>
      <c r="F14" s="133" t="s">
        <v>443</v>
      </c>
      <c r="G14" s="133" t="s">
        <v>444</v>
      </c>
      <c r="H14" s="133" t="s">
        <v>423</v>
      </c>
      <c r="I14" s="133"/>
      <c r="J14" s="133"/>
      <c r="K14" s="133"/>
      <c r="L14" s="8"/>
      <c r="M14" s="27" t="s">
        <v>1</v>
      </c>
      <c r="N14" s="133"/>
      <c r="O14" s="133"/>
      <c r="P14" s="133"/>
      <c r="Q14" s="133"/>
      <c r="R14" s="133"/>
      <c r="S14" s="133"/>
      <c r="T14" s="133"/>
      <c r="U14" s="133"/>
      <c r="V14" s="133"/>
      <c r="W14" s="133"/>
      <c r="X14" s="8"/>
      <c r="Y14" s="27" t="s">
        <v>1</v>
      </c>
      <c r="Z14" s="133"/>
      <c r="AA14" s="133"/>
      <c r="AB14" s="133"/>
      <c r="AC14" s="133"/>
      <c r="AD14" s="133"/>
      <c r="AE14" s="133"/>
      <c r="AF14" s="133"/>
      <c r="AG14" s="133"/>
      <c r="AH14" s="133"/>
      <c r="AI14" s="133"/>
      <c r="AJ14" s="8"/>
      <c r="AK14" s="8"/>
      <c r="AL14" s="8"/>
      <c r="AM14" s="8"/>
      <c r="AN14" s="8"/>
      <c r="AO14" s="8"/>
      <c r="AP14" s="8"/>
      <c r="AQ14" s="8"/>
      <c r="AR14" s="8"/>
      <c r="AS14" s="8"/>
      <c r="AT14" s="8"/>
      <c r="AU14" s="8"/>
      <c r="AV14" s="8"/>
      <c r="AW14" s="8"/>
      <c r="AX14" s="8"/>
      <c r="AY14" s="8"/>
    </row>
    <row r="15" spans="1:64" ht="9.75" customHeight="1">
      <c r="A15" s="15"/>
      <c r="B15" s="92"/>
      <c r="C15" s="92"/>
      <c r="D15" s="92"/>
      <c r="E15" s="92"/>
      <c r="F15" s="92"/>
      <c r="G15" s="92"/>
      <c r="H15" s="92"/>
      <c r="I15" s="92"/>
      <c r="J15" s="92"/>
      <c r="K15" s="92"/>
      <c r="L15" s="6"/>
      <c r="M15" s="15"/>
      <c r="N15" s="92"/>
      <c r="O15" s="92"/>
      <c r="P15" s="92"/>
      <c r="Q15" s="92"/>
      <c r="R15" s="92"/>
      <c r="S15" s="92"/>
      <c r="T15" s="92"/>
      <c r="U15" s="92"/>
      <c r="V15" s="92"/>
      <c r="W15" s="92"/>
      <c r="X15" s="6"/>
      <c r="Y15" s="15"/>
      <c r="Z15" s="92"/>
      <c r="AA15" s="92"/>
      <c r="AB15" s="92"/>
      <c r="AC15" s="92"/>
      <c r="AD15" s="92"/>
      <c r="AE15" s="92"/>
      <c r="AF15" s="92"/>
      <c r="AG15" s="92"/>
      <c r="AH15" s="92"/>
      <c r="AI15" s="92"/>
      <c r="AJ15" s="6"/>
      <c r="AK15" s="6"/>
      <c r="AL15" s="6"/>
      <c r="AM15" s="80"/>
      <c r="AN15" s="80"/>
      <c r="AO15" s="80"/>
      <c r="AP15" s="80"/>
      <c r="AQ15" s="80"/>
      <c r="AR15" s="80"/>
      <c r="AS15" s="80"/>
      <c r="AT15" s="80"/>
      <c r="AU15" s="80"/>
      <c r="AV15" s="80"/>
      <c r="AW15" s="80"/>
      <c r="AX15" s="80"/>
      <c r="AY15" s="80"/>
    </row>
    <row r="16" spans="1:64" ht="18" customHeight="1">
      <c r="A16" s="26" t="s">
        <v>0</v>
      </c>
      <c r="B16" s="91" t="s">
        <v>93</v>
      </c>
      <c r="C16" s="91" t="s">
        <v>94</v>
      </c>
      <c r="D16" s="91" t="s">
        <v>95</v>
      </c>
      <c r="E16" s="91" t="s">
        <v>96</v>
      </c>
      <c r="F16" s="91" t="s">
        <v>97</v>
      </c>
      <c r="G16" s="91" t="s">
        <v>98</v>
      </c>
      <c r="H16" s="91" t="s">
        <v>99</v>
      </c>
      <c r="I16" s="91" t="s">
        <v>100</v>
      </c>
      <c r="J16" s="91" t="s">
        <v>101</v>
      </c>
      <c r="K16" s="91" t="s">
        <v>102</v>
      </c>
      <c r="L16" s="6"/>
      <c r="M16" s="26" t="s">
        <v>0</v>
      </c>
      <c r="N16" s="91" t="s">
        <v>193</v>
      </c>
      <c r="O16" s="91" t="s">
        <v>194</v>
      </c>
      <c r="P16" s="91" t="s">
        <v>195</v>
      </c>
      <c r="Q16" s="91" t="s">
        <v>196</v>
      </c>
      <c r="R16" s="91" t="s">
        <v>197</v>
      </c>
      <c r="S16" s="91" t="s">
        <v>198</v>
      </c>
      <c r="T16" s="91" t="s">
        <v>199</v>
      </c>
      <c r="U16" s="91" t="s">
        <v>200</v>
      </c>
      <c r="V16" s="91" t="s">
        <v>201</v>
      </c>
      <c r="W16" s="91" t="s">
        <v>202</v>
      </c>
      <c r="X16" s="6"/>
      <c r="Y16" s="26" t="s">
        <v>0</v>
      </c>
      <c r="Z16" s="91" t="s">
        <v>293</v>
      </c>
      <c r="AA16" s="91" t="s">
        <v>294</v>
      </c>
      <c r="AB16" s="91" t="s">
        <v>295</v>
      </c>
      <c r="AC16" s="91" t="s">
        <v>296</v>
      </c>
      <c r="AD16" s="91" t="s">
        <v>297</v>
      </c>
      <c r="AE16" s="91" t="s">
        <v>298</v>
      </c>
      <c r="AF16" s="91" t="s">
        <v>299</v>
      </c>
      <c r="AG16" s="91" t="s">
        <v>300</v>
      </c>
      <c r="AH16" s="91" t="s">
        <v>301</v>
      </c>
      <c r="AI16" s="91" t="s">
        <v>302</v>
      </c>
      <c r="AJ16" s="6"/>
      <c r="AK16" s="6"/>
      <c r="AL16" s="6"/>
      <c r="AM16" s="80"/>
      <c r="AN16" s="80"/>
      <c r="AO16" s="80"/>
      <c r="AP16" s="80"/>
      <c r="AQ16" s="80"/>
      <c r="AR16" s="80"/>
      <c r="AS16" s="80"/>
      <c r="AT16" s="80"/>
      <c r="AU16" s="80"/>
      <c r="AV16" s="80"/>
      <c r="AW16" s="80"/>
      <c r="AX16" s="80"/>
      <c r="AY16" s="80"/>
    </row>
    <row r="17" spans="1:51" s="1" customFormat="1" ht="30" customHeight="1">
      <c r="A17" s="27" t="s">
        <v>1</v>
      </c>
      <c r="B17" s="133"/>
      <c r="C17" s="133"/>
      <c r="D17" s="133"/>
      <c r="E17" s="133"/>
      <c r="F17" s="133"/>
      <c r="G17" s="133"/>
      <c r="H17" s="133"/>
      <c r="I17" s="133"/>
      <c r="J17" s="133"/>
      <c r="K17" s="133"/>
      <c r="L17" s="8"/>
      <c r="M17" s="27" t="s">
        <v>1</v>
      </c>
      <c r="N17" s="133"/>
      <c r="O17" s="133"/>
      <c r="P17" s="133"/>
      <c r="Q17" s="133"/>
      <c r="R17" s="133"/>
      <c r="S17" s="133"/>
      <c r="T17" s="133"/>
      <c r="U17" s="133"/>
      <c r="V17" s="133"/>
      <c r="W17" s="133"/>
      <c r="X17" s="8"/>
      <c r="Y17" s="27" t="s">
        <v>1</v>
      </c>
      <c r="Z17" s="133"/>
      <c r="AA17" s="133"/>
      <c r="AB17" s="133"/>
      <c r="AC17" s="133"/>
      <c r="AD17" s="133"/>
      <c r="AE17" s="133"/>
      <c r="AF17" s="133"/>
      <c r="AG17" s="133"/>
      <c r="AH17" s="133"/>
      <c r="AI17" s="133"/>
      <c r="AJ17" s="8"/>
      <c r="AK17" s="8"/>
      <c r="AL17" s="8"/>
      <c r="AM17" s="8"/>
      <c r="AN17" s="8"/>
      <c r="AO17" s="8"/>
      <c r="AP17" s="8"/>
      <c r="AQ17" s="8"/>
      <c r="AR17" s="8"/>
      <c r="AS17" s="8"/>
      <c r="AT17" s="8"/>
      <c r="AU17" s="8"/>
      <c r="AV17" s="8"/>
      <c r="AW17" s="8"/>
      <c r="AX17" s="8"/>
      <c r="AY17" s="8"/>
    </row>
    <row r="18" spans="1:51" ht="9.75" customHeight="1">
      <c r="A18" s="15"/>
      <c r="B18" s="92"/>
      <c r="C18" s="92"/>
      <c r="D18" s="92"/>
      <c r="E18" s="92"/>
      <c r="F18" s="92"/>
      <c r="G18" s="92"/>
      <c r="H18" s="92"/>
      <c r="I18" s="92"/>
      <c r="J18" s="92"/>
      <c r="K18" s="92"/>
      <c r="L18" s="6"/>
      <c r="M18" s="15"/>
      <c r="N18" s="92"/>
      <c r="O18" s="92"/>
      <c r="P18" s="92"/>
      <c r="Q18" s="92"/>
      <c r="R18" s="92"/>
      <c r="S18" s="92"/>
      <c r="T18" s="92"/>
      <c r="U18" s="92"/>
      <c r="V18" s="92"/>
      <c r="W18" s="92"/>
      <c r="X18" s="6"/>
      <c r="Y18" s="15"/>
      <c r="Z18" s="92"/>
      <c r="AA18" s="92"/>
      <c r="AB18" s="92"/>
      <c r="AC18" s="92"/>
      <c r="AD18" s="92"/>
      <c r="AE18" s="92"/>
      <c r="AF18" s="92"/>
      <c r="AG18" s="92"/>
      <c r="AH18" s="92"/>
      <c r="AI18" s="92"/>
      <c r="AJ18" s="6"/>
      <c r="AK18" s="6"/>
      <c r="AL18" s="6"/>
      <c r="AM18" s="80"/>
      <c r="AN18" s="80"/>
      <c r="AO18" s="80"/>
      <c r="AP18" s="80"/>
      <c r="AQ18" s="80"/>
      <c r="AR18" s="80"/>
      <c r="AS18" s="80"/>
      <c r="AT18" s="80"/>
      <c r="AU18" s="80"/>
      <c r="AV18" s="80"/>
      <c r="AW18" s="80"/>
      <c r="AX18" s="80"/>
      <c r="AY18" s="80"/>
    </row>
    <row r="19" spans="1:51" ht="18" customHeight="1">
      <c r="A19" s="26" t="s">
        <v>0</v>
      </c>
      <c r="B19" s="91" t="s">
        <v>103</v>
      </c>
      <c r="C19" s="91" t="s">
        <v>104</v>
      </c>
      <c r="D19" s="91" t="s">
        <v>105</v>
      </c>
      <c r="E19" s="91" t="s">
        <v>106</v>
      </c>
      <c r="F19" s="91" t="s">
        <v>107</v>
      </c>
      <c r="G19" s="91" t="s">
        <v>108</v>
      </c>
      <c r="H19" s="91" t="s">
        <v>109</v>
      </c>
      <c r="I19" s="91" t="s">
        <v>110</v>
      </c>
      <c r="J19" s="91" t="s">
        <v>111</v>
      </c>
      <c r="K19" s="91" t="s">
        <v>112</v>
      </c>
      <c r="L19" s="6"/>
      <c r="M19" s="26" t="s">
        <v>0</v>
      </c>
      <c r="N19" s="91" t="s">
        <v>203</v>
      </c>
      <c r="O19" s="91" t="s">
        <v>204</v>
      </c>
      <c r="P19" s="91" t="s">
        <v>205</v>
      </c>
      <c r="Q19" s="91" t="s">
        <v>206</v>
      </c>
      <c r="R19" s="91" t="s">
        <v>207</v>
      </c>
      <c r="S19" s="91" t="s">
        <v>208</v>
      </c>
      <c r="T19" s="91" t="s">
        <v>209</v>
      </c>
      <c r="U19" s="91" t="s">
        <v>210</v>
      </c>
      <c r="V19" s="91" t="s">
        <v>211</v>
      </c>
      <c r="W19" s="91" t="s">
        <v>212</v>
      </c>
      <c r="X19" s="6"/>
      <c r="Y19" s="26" t="s">
        <v>0</v>
      </c>
      <c r="Z19" s="91" t="s">
        <v>303</v>
      </c>
      <c r="AA19" s="91" t="s">
        <v>304</v>
      </c>
      <c r="AB19" s="91" t="s">
        <v>305</v>
      </c>
      <c r="AC19" s="91" t="s">
        <v>306</v>
      </c>
      <c r="AD19" s="91" t="s">
        <v>307</v>
      </c>
      <c r="AE19" s="91" t="s">
        <v>308</v>
      </c>
      <c r="AF19" s="91" t="s">
        <v>309</v>
      </c>
      <c r="AG19" s="91" t="s">
        <v>310</v>
      </c>
      <c r="AH19" s="91" t="s">
        <v>311</v>
      </c>
      <c r="AI19" s="91" t="s">
        <v>312</v>
      </c>
      <c r="AJ19" s="6"/>
      <c r="AK19" s="6"/>
      <c r="AL19" s="6"/>
      <c r="AM19" s="80"/>
      <c r="AN19" s="80"/>
      <c r="AO19" s="80"/>
      <c r="AP19" s="80"/>
      <c r="AQ19" s="80"/>
      <c r="AR19" s="80"/>
      <c r="AS19" s="80"/>
      <c r="AT19" s="80"/>
      <c r="AU19" s="80"/>
      <c r="AV19" s="80"/>
      <c r="AW19" s="80"/>
      <c r="AX19" s="80"/>
      <c r="AY19" s="80"/>
    </row>
    <row r="20" spans="1:51" s="1" customFormat="1" ht="30" customHeight="1">
      <c r="A20" s="27" t="s">
        <v>1</v>
      </c>
      <c r="B20" s="133"/>
      <c r="C20" s="133"/>
      <c r="D20" s="133"/>
      <c r="E20" s="133"/>
      <c r="F20" s="133"/>
      <c r="G20" s="133"/>
      <c r="H20" s="133"/>
      <c r="I20" s="133"/>
      <c r="J20" s="133"/>
      <c r="K20" s="133"/>
      <c r="L20" s="8"/>
      <c r="M20" s="27" t="s">
        <v>1</v>
      </c>
      <c r="N20" s="133"/>
      <c r="O20" s="133"/>
      <c r="P20" s="133"/>
      <c r="Q20" s="133"/>
      <c r="R20" s="133"/>
      <c r="S20" s="133"/>
      <c r="T20" s="133"/>
      <c r="U20" s="133"/>
      <c r="V20" s="133"/>
      <c r="W20" s="133"/>
      <c r="X20" s="8"/>
      <c r="Y20" s="27" t="s">
        <v>1</v>
      </c>
      <c r="Z20" s="133"/>
      <c r="AA20" s="133"/>
      <c r="AB20" s="133"/>
      <c r="AC20" s="133"/>
      <c r="AD20" s="133"/>
      <c r="AE20" s="133"/>
      <c r="AF20" s="133"/>
      <c r="AG20" s="133"/>
      <c r="AH20" s="133"/>
      <c r="AI20" s="133"/>
      <c r="AJ20" s="8"/>
      <c r="AK20" s="8"/>
      <c r="AL20" s="8"/>
      <c r="AM20" s="8"/>
      <c r="AN20" s="8"/>
      <c r="AO20" s="8"/>
      <c r="AP20" s="8"/>
      <c r="AQ20" s="8"/>
      <c r="AR20" s="8"/>
      <c r="AS20" s="8"/>
      <c r="AT20" s="8"/>
      <c r="AU20" s="8"/>
      <c r="AV20" s="8"/>
      <c r="AW20" s="8"/>
      <c r="AX20" s="8"/>
      <c r="AY20" s="8"/>
    </row>
    <row r="21" spans="1:51" ht="9.75" customHeight="1">
      <c r="A21" s="15"/>
      <c r="B21" s="92"/>
      <c r="C21" s="92"/>
      <c r="D21" s="92"/>
      <c r="E21" s="92"/>
      <c r="F21" s="92"/>
      <c r="G21" s="92"/>
      <c r="H21" s="92"/>
      <c r="I21" s="92"/>
      <c r="J21" s="92"/>
      <c r="K21" s="92"/>
      <c r="L21" s="6"/>
      <c r="M21" s="15"/>
      <c r="N21" s="92"/>
      <c r="O21" s="92"/>
      <c r="P21" s="92"/>
      <c r="Q21" s="92"/>
      <c r="R21" s="92"/>
      <c r="S21" s="92"/>
      <c r="T21" s="92"/>
      <c r="U21" s="92"/>
      <c r="V21" s="92"/>
      <c r="W21" s="92"/>
      <c r="X21" s="6"/>
      <c r="Y21" s="15"/>
      <c r="Z21" s="92"/>
      <c r="AA21" s="92"/>
      <c r="AB21" s="92"/>
      <c r="AC21" s="92"/>
      <c r="AD21" s="92"/>
      <c r="AE21" s="92"/>
      <c r="AF21" s="92"/>
      <c r="AG21" s="92"/>
      <c r="AH21" s="92"/>
      <c r="AI21" s="92"/>
      <c r="AJ21" s="6"/>
      <c r="AK21" s="6"/>
      <c r="AL21" s="6"/>
      <c r="AM21" s="80"/>
      <c r="AN21" s="80"/>
      <c r="AO21" s="80"/>
      <c r="AP21" s="80"/>
      <c r="AQ21" s="80"/>
      <c r="AR21" s="80"/>
      <c r="AS21" s="80"/>
      <c r="AT21" s="80"/>
      <c r="AU21" s="80"/>
      <c r="AV21" s="80"/>
      <c r="AW21" s="80"/>
      <c r="AX21" s="80"/>
      <c r="AY21" s="80"/>
    </row>
    <row r="22" spans="1:51" ht="18" customHeight="1">
      <c r="A22" s="26" t="s">
        <v>0</v>
      </c>
      <c r="B22" s="91" t="s">
        <v>113</v>
      </c>
      <c r="C22" s="91" t="s">
        <v>114</v>
      </c>
      <c r="D22" s="91" t="s">
        <v>115</v>
      </c>
      <c r="E22" s="91" t="s">
        <v>116</v>
      </c>
      <c r="F22" s="91" t="s">
        <v>117</v>
      </c>
      <c r="G22" s="91" t="s">
        <v>118</v>
      </c>
      <c r="H22" s="91" t="s">
        <v>119</v>
      </c>
      <c r="I22" s="91" t="s">
        <v>120</v>
      </c>
      <c r="J22" s="91" t="s">
        <v>121</v>
      </c>
      <c r="K22" s="91" t="s">
        <v>122</v>
      </c>
      <c r="L22" s="6"/>
      <c r="M22" s="26" t="s">
        <v>0</v>
      </c>
      <c r="N22" s="91" t="s">
        <v>213</v>
      </c>
      <c r="O22" s="91" t="s">
        <v>214</v>
      </c>
      <c r="P22" s="91" t="s">
        <v>215</v>
      </c>
      <c r="Q22" s="91" t="s">
        <v>216</v>
      </c>
      <c r="R22" s="91" t="s">
        <v>217</v>
      </c>
      <c r="S22" s="91" t="s">
        <v>218</v>
      </c>
      <c r="T22" s="91" t="s">
        <v>219</v>
      </c>
      <c r="U22" s="91" t="s">
        <v>220</v>
      </c>
      <c r="V22" s="91" t="s">
        <v>221</v>
      </c>
      <c r="W22" s="91" t="s">
        <v>222</v>
      </c>
      <c r="X22" s="6"/>
      <c r="Y22" s="26" t="s">
        <v>0</v>
      </c>
      <c r="Z22" s="91" t="s">
        <v>313</v>
      </c>
      <c r="AA22" s="91" t="s">
        <v>314</v>
      </c>
      <c r="AB22" s="91" t="s">
        <v>315</v>
      </c>
      <c r="AC22" s="91" t="s">
        <v>316</v>
      </c>
      <c r="AD22" s="91" t="s">
        <v>317</v>
      </c>
      <c r="AE22" s="91" t="s">
        <v>318</v>
      </c>
      <c r="AF22" s="91" t="s">
        <v>319</v>
      </c>
      <c r="AG22" s="91" t="s">
        <v>320</v>
      </c>
      <c r="AH22" s="91" t="s">
        <v>321</v>
      </c>
      <c r="AI22" s="91" t="s">
        <v>322</v>
      </c>
      <c r="AJ22" s="6"/>
      <c r="AK22" s="6"/>
      <c r="AL22" s="6"/>
      <c r="AM22" s="80"/>
      <c r="AN22" s="80"/>
      <c r="AO22" s="80"/>
      <c r="AP22" s="80"/>
      <c r="AQ22" s="80"/>
      <c r="AR22" s="80"/>
      <c r="AS22" s="80"/>
      <c r="AT22" s="80"/>
      <c r="AU22" s="80"/>
      <c r="AV22" s="80"/>
      <c r="AW22" s="80"/>
      <c r="AX22" s="80"/>
      <c r="AY22" s="80"/>
    </row>
    <row r="23" spans="1:51" s="1" customFormat="1" ht="30" customHeight="1">
      <c r="A23" s="27" t="s">
        <v>1</v>
      </c>
      <c r="B23" s="133"/>
      <c r="C23" s="133"/>
      <c r="D23" s="133"/>
      <c r="E23" s="133"/>
      <c r="F23" s="133"/>
      <c r="G23" s="133"/>
      <c r="H23" s="133"/>
      <c r="I23" s="133"/>
      <c r="J23" s="133"/>
      <c r="K23" s="133"/>
      <c r="L23" s="8"/>
      <c r="M23" s="27" t="s">
        <v>1</v>
      </c>
      <c r="N23" s="133"/>
      <c r="O23" s="133"/>
      <c r="P23" s="133"/>
      <c r="Q23" s="133"/>
      <c r="R23" s="133"/>
      <c r="S23" s="133"/>
      <c r="T23" s="133"/>
      <c r="U23" s="133"/>
      <c r="V23" s="133"/>
      <c r="W23" s="133"/>
      <c r="X23" s="8"/>
      <c r="Y23" s="27" t="s">
        <v>1</v>
      </c>
      <c r="Z23" s="133"/>
      <c r="AA23" s="133"/>
      <c r="AB23" s="133"/>
      <c r="AC23" s="133"/>
      <c r="AD23" s="133"/>
      <c r="AE23" s="133"/>
      <c r="AF23" s="133"/>
      <c r="AG23" s="133"/>
      <c r="AH23" s="133"/>
      <c r="AI23" s="133"/>
      <c r="AJ23" s="8"/>
      <c r="AK23" s="8"/>
      <c r="AL23" s="8"/>
      <c r="AM23" s="8"/>
      <c r="AN23" s="8"/>
      <c r="AO23" s="8"/>
      <c r="AP23" s="8"/>
      <c r="AQ23" s="8"/>
      <c r="AR23" s="8"/>
      <c r="AS23" s="8"/>
      <c r="AT23" s="8"/>
      <c r="AU23" s="8"/>
      <c r="AV23" s="8"/>
      <c r="AW23" s="8"/>
      <c r="AX23" s="8"/>
      <c r="AY23" s="8"/>
    </row>
    <row r="24" spans="1:51" ht="9.75" customHeight="1">
      <c r="A24" s="15"/>
      <c r="B24" s="92"/>
      <c r="C24" s="92"/>
      <c r="D24" s="92"/>
      <c r="E24" s="92"/>
      <c r="F24" s="92"/>
      <c r="G24" s="92"/>
      <c r="H24" s="92"/>
      <c r="I24" s="92"/>
      <c r="J24" s="92"/>
      <c r="K24" s="92"/>
      <c r="L24" s="6"/>
      <c r="M24" s="15"/>
      <c r="N24" s="92"/>
      <c r="O24" s="92"/>
      <c r="P24" s="92"/>
      <c r="Q24" s="92"/>
      <c r="R24" s="92"/>
      <c r="S24" s="92"/>
      <c r="T24" s="92"/>
      <c r="U24" s="92"/>
      <c r="V24" s="92"/>
      <c r="W24" s="92"/>
      <c r="X24" s="6"/>
      <c r="Y24" s="15"/>
      <c r="Z24" s="92"/>
      <c r="AA24" s="92"/>
      <c r="AB24" s="92"/>
      <c r="AC24" s="92"/>
      <c r="AD24" s="92"/>
      <c r="AE24" s="92"/>
      <c r="AF24" s="92"/>
      <c r="AG24" s="92"/>
      <c r="AH24" s="92"/>
      <c r="AI24" s="92"/>
      <c r="AJ24" s="6"/>
      <c r="AK24" s="6"/>
      <c r="AL24" s="6"/>
      <c r="AM24" s="80"/>
      <c r="AN24" s="80"/>
      <c r="AO24" s="80"/>
      <c r="AP24" s="80"/>
      <c r="AQ24" s="80"/>
      <c r="AR24" s="80"/>
      <c r="AS24" s="80"/>
      <c r="AT24" s="80"/>
      <c r="AU24" s="80"/>
      <c r="AV24" s="80"/>
      <c r="AW24" s="80"/>
      <c r="AX24" s="80"/>
      <c r="AY24" s="80"/>
    </row>
    <row r="25" spans="1:51" ht="18" customHeight="1">
      <c r="A25" s="26" t="s">
        <v>0</v>
      </c>
      <c r="B25" s="91" t="s">
        <v>123</v>
      </c>
      <c r="C25" s="91" t="s">
        <v>124</v>
      </c>
      <c r="D25" s="91" t="s">
        <v>125</v>
      </c>
      <c r="E25" s="91" t="s">
        <v>126</v>
      </c>
      <c r="F25" s="91" t="s">
        <v>127</v>
      </c>
      <c r="G25" s="91" t="s">
        <v>128</v>
      </c>
      <c r="H25" s="91" t="s">
        <v>129</v>
      </c>
      <c r="I25" s="91" t="s">
        <v>130</v>
      </c>
      <c r="J25" s="91" t="s">
        <v>131</v>
      </c>
      <c r="K25" s="91" t="s">
        <v>132</v>
      </c>
      <c r="L25" s="6"/>
      <c r="M25" s="26" t="s">
        <v>0</v>
      </c>
      <c r="N25" s="91" t="s">
        <v>223</v>
      </c>
      <c r="O25" s="91" t="s">
        <v>224</v>
      </c>
      <c r="P25" s="91" t="s">
        <v>225</v>
      </c>
      <c r="Q25" s="91" t="s">
        <v>226</v>
      </c>
      <c r="R25" s="91" t="s">
        <v>227</v>
      </c>
      <c r="S25" s="91" t="s">
        <v>228</v>
      </c>
      <c r="T25" s="91" t="s">
        <v>229</v>
      </c>
      <c r="U25" s="91" t="s">
        <v>230</v>
      </c>
      <c r="V25" s="91" t="s">
        <v>231</v>
      </c>
      <c r="W25" s="91" t="s">
        <v>232</v>
      </c>
      <c r="X25" s="6"/>
      <c r="Y25" s="26" t="s">
        <v>0</v>
      </c>
      <c r="Z25" s="91" t="s">
        <v>323</v>
      </c>
      <c r="AA25" s="91" t="s">
        <v>324</v>
      </c>
      <c r="AB25" s="91" t="s">
        <v>325</v>
      </c>
      <c r="AC25" s="91" t="s">
        <v>326</v>
      </c>
      <c r="AD25" s="91" t="s">
        <v>327</v>
      </c>
      <c r="AE25" s="91" t="s">
        <v>328</v>
      </c>
      <c r="AF25" s="93"/>
      <c r="AG25" s="93"/>
      <c r="AH25" s="93"/>
      <c r="AI25" s="93"/>
      <c r="AJ25" s="6"/>
      <c r="AK25" s="6"/>
      <c r="AL25" s="6"/>
      <c r="AM25" s="80"/>
      <c r="AN25" s="80"/>
      <c r="AO25" s="80"/>
      <c r="AP25" s="80"/>
      <c r="AQ25" s="80"/>
      <c r="AR25" s="80"/>
      <c r="AS25" s="80"/>
      <c r="AT25" s="80"/>
      <c r="AU25" s="80"/>
      <c r="AV25" s="80"/>
      <c r="AW25" s="80"/>
      <c r="AX25" s="80"/>
      <c r="AY25" s="80"/>
    </row>
    <row r="26" spans="1:51" s="1" customFormat="1" ht="30" customHeight="1">
      <c r="A26" s="27" t="s">
        <v>1</v>
      </c>
      <c r="B26" s="133"/>
      <c r="C26" s="133"/>
      <c r="D26" s="133"/>
      <c r="E26" s="133"/>
      <c r="F26" s="133"/>
      <c r="G26" s="133"/>
      <c r="H26" s="133"/>
      <c r="I26" s="133"/>
      <c r="J26" s="133"/>
      <c r="K26" s="133"/>
      <c r="L26" s="8"/>
      <c r="M26" s="27" t="s">
        <v>1</v>
      </c>
      <c r="N26" s="133"/>
      <c r="O26" s="133"/>
      <c r="P26" s="133"/>
      <c r="Q26" s="133"/>
      <c r="R26" s="133"/>
      <c r="S26" s="133"/>
      <c r="T26" s="133"/>
      <c r="U26" s="133"/>
      <c r="V26" s="133"/>
      <c r="W26" s="133"/>
      <c r="X26" s="8"/>
      <c r="Y26" s="27" t="s">
        <v>1</v>
      </c>
      <c r="Z26" s="133"/>
      <c r="AA26" s="133"/>
      <c r="AB26" s="133"/>
      <c r="AC26" s="133"/>
      <c r="AD26" s="133"/>
      <c r="AE26" s="133"/>
      <c r="AF26" s="94"/>
      <c r="AG26" s="94"/>
      <c r="AH26" s="94"/>
      <c r="AI26" s="94"/>
      <c r="AJ26" s="8"/>
      <c r="AK26" s="8"/>
      <c r="AL26" s="8"/>
      <c r="AM26" s="8"/>
      <c r="AN26" s="8"/>
      <c r="AO26" s="8"/>
      <c r="AP26" s="8"/>
      <c r="AQ26" s="8"/>
      <c r="AR26" s="8"/>
      <c r="AS26" s="8"/>
      <c r="AT26" s="8"/>
      <c r="AU26" s="8"/>
      <c r="AV26" s="8"/>
      <c r="AW26" s="8"/>
      <c r="AX26" s="8"/>
      <c r="AY26" s="8"/>
    </row>
    <row r="27" spans="1:51" ht="9.75" customHeight="1">
      <c r="A27" s="15"/>
      <c r="B27" s="92"/>
      <c r="C27" s="92"/>
      <c r="D27" s="92"/>
      <c r="E27" s="92"/>
      <c r="F27" s="92"/>
      <c r="G27" s="92"/>
      <c r="H27" s="92"/>
      <c r="I27" s="92"/>
      <c r="J27" s="92"/>
      <c r="K27" s="92"/>
      <c r="L27" s="6"/>
      <c r="M27" s="15"/>
      <c r="N27" s="92"/>
      <c r="O27" s="92"/>
      <c r="P27" s="92"/>
      <c r="Q27" s="92"/>
      <c r="R27" s="92"/>
      <c r="S27" s="92"/>
      <c r="T27" s="92"/>
      <c r="U27" s="92"/>
      <c r="V27" s="92"/>
      <c r="W27" s="92"/>
      <c r="X27" s="6"/>
      <c r="Y27" s="15"/>
      <c r="Z27" s="92"/>
      <c r="AA27" s="92"/>
      <c r="AB27" s="92"/>
      <c r="AC27" s="92"/>
      <c r="AD27" s="92"/>
      <c r="AE27" s="92"/>
      <c r="AF27" s="93"/>
      <c r="AG27" s="93"/>
      <c r="AH27" s="93"/>
      <c r="AI27" s="93"/>
      <c r="AJ27" s="6"/>
      <c r="AK27" s="6"/>
      <c r="AL27" s="6"/>
      <c r="AM27" s="80"/>
      <c r="AN27" s="80"/>
      <c r="AO27" s="80"/>
      <c r="AP27" s="80"/>
      <c r="AQ27" s="80"/>
      <c r="AR27" s="80"/>
      <c r="AS27" s="80"/>
      <c r="AT27" s="80"/>
      <c r="AU27" s="80"/>
      <c r="AV27" s="80"/>
      <c r="AW27" s="80"/>
      <c r="AX27" s="80"/>
      <c r="AY27" s="80"/>
    </row>
    <row r="28" spans="1:51" ht="18" customHeight="1">
      <c r="A28" s="26" t="s">
        <v>0</v>
      </c>
      <c r="B28" s="91" t="s">
        <v>133</v>
      </c>
      <c r="C28" s="91" t="s">
        <v>134</v>
      </c>
      <c r="D28" s="91" t="s">
        <v>135</v>
      </c>
      <c r="E28" s="91" t="s">
        <v>136</v>
      </c>
      <c r="F28" s="91" t="s">
        <v>137</v>
      </c>
      <c r="G28" s="91" t="s">
        <v>138</v>
      </c>
      <c r="H28" s="91" t="s">
        <v>139</v>
      </c>
      <c r="I28" s="91" t="s">
        <v>140</v>
      </c>
      <c r="J28" s="91" t="s">
        <v>141</v>
      </c>
      <c r="K28" s="91" t="s">
        <v>142</v>
      </c>
      <c r="L28" s="6"/>
      <c r="M28" s="26" t="s">
        <v>0</v>
      </c>
      <c r="N28" s="91" t="s">
        <v>233</v>
      </c>
      <c r="O28" s="91" t="s">
        <v>234</v>
      </c>
      <c r="P28" s="91" t="s">
        <v>235</v>
      </c>
      <c r="Q28" s="91" t="s">
        <v>236</v>
      </c>
      <c r="R28" s="91" t="s">
        <v>237</v>
      </c>
      <c r="S28" s="91" t="s">
        <v>238</v>
      </c>
      <c r="T28" s="91" t="s">
        <v>239</v>
      </c>
      <c r="U28" s="91" t="s">
        <v>240</v>
      </c>
      <c r="V28" s="91" t="s">
        <v>241</v>
      </c>
      <c r="W28" s="91" t="s">
        <v>242</v>
      </c>
      <c r="X28" s="6"/>
      <c r="Y28" s="20"/>
      <c r="Z28" s="93"/>
      <c r="AA28" s="93"/>
      <c r="AB28" s="93"/>
      <c r="AC28" s="93"/>
      <c r="AD28" s="93"/>
      <c r="AE28" s="93"/>
      <c r="AF28" s="93"/>
      <c r="AG28" s="93"/>
      <c r="AH28" s="93"/>
      <c r="AI28" s="93"/>
      <c r="AJ28" s="6"/>
      <c r="AK28" s="6"/>
      <c r="AL28" s="6"/>
      <c r="AM28" s="80"/>
      <c r="AN28" s="80"/>
      <c r="AO28" s="80"/>
      <c r="AP28" s="80"/>
      <c r="AQ28" s="80"/>
      <c r="AR28" s="80"/>
      <c r="AS28" s="80"/>
      <c r="AT28" s="80"/>
      <c r="AU28" s="80"/>
      <c r="AV28" s="80"/>
      <c r="AW28" s="80"/>
      <c r="AX28" s="80"/>
      <c r="AY28" s="80"/>
    </row>
    <row r="29" spans="1:51" s="1" customFormat="1" ht="30" customHeight="1">
      <c r="A29" s="27" t="s">
        <v>1</v>
      </c>
      <c r="B29" s="133"/>
      <c r="C29" s="133"/>
      <c r="D29" s="133"/>
      <c r="E29" s="133"/>
      <c r="F29" s="133"/>
      <c r="G29" s="133"/>
      <c r="H29" s="133"/>
      <c r="I29" s="133"/>
      <c r="J29" s="133"/>
      <c r="K29" s="133"/>
      <c r="L29" s="8"/>
      <c r="M29" s="27" t="s">
        <v>1</v>
      </c>
      <c r="N29" s="133"/>
      <c r="O29" s="133"/>
      <c r="P29" s="133"/>
      <c r="Q29" s="133"/>
      <c r="R29" s="133"/>
      <c r="S29" s="133"/>
      <c r="T29" s="133"/>
      <c r="U29" s="133"/>
      <c r="V29" s="133"/>
      <c r="W29" s="133"/>
      <c r="X29" s="8"/>
      <c r="Y29" s="21"/>
      <c r="Z29" s="94"/>
      <c r="AA29" s="94"/>
      <c r="AB29" s="94"/>
      <c r="AC29" s="94"/>
      <c r="AD29" s="94"/>
      <c r="AE29" s="94"/>
      <c r="AF29" s="94"/>
      <c r="AG29" s="94"/>
      <c r="AH29" s="94"/>
      <c r="AI29" s="94"/>
      <c r="AJ29" s="8"/>
      <c r="AK29" s="8"/>
      <c r="AL29" s="8"/>
      <c r="AM29" s="8"/>
      <c r="AN29" s="8"/>
      <c r="AO29" s="8"/>
      <c r="AP29" s="8"/>
      <c r="AQ29" s="8"/>
      <c r="AR29" s="8"/>
      <c r="AS29" s="8"/>
      <c r="AT29" s="8"/>
      <c r="AU29" s="8"/>
      <c r="AV29" s="8"/>
      <c r="AW29" s="8"/>
      <c r="AX29" s="8"/>
      <c r="AY29" s="8"/>
    </row>
    <row r="30" spans="1:51" ht="9.75" customHeight="1">
      <c r="A30" s="15"/>
      <c r="B30" s="92"/>
      <c r="C30" s="92"/>
      <c r="D30" s="92"/>
      <c r="E30" s="92"/>
      <c r="F30" s="92"/>
      <c r="G30" s="92"/>
      <c r="H30" s="92"/>
      <c r="I30" s="92"/>
      <c r="J30" s="92"/>
      <c r="K30" s="92"/>
      <c r="L30" s="6"/>
      <c r="M30" s="15"/>
      <c r="N30" s="92"/>
      <c r="O30" s="92"/>
      <c r="P30" s="92"/>
      <c r="Q30" s="92"/>
      <c r="R30" s="92"/>
      <c r="S30" s="92"/>
      <c r="T30" s="92"/>
      <c r="U30" s="92"/>
      <c r="V30" s="92"/>
      <c r="W30" s="92"/>
      <c r="X30" s="6"/>
      <c r="Y30" s="20"/>
      <c r="Z30" s="93"/>
      <c r="AA30" s="93"/>
      <c r="AB30" s="93"/>
      <c r="AC30" s="93"/>
      <c r="AD30" s="93"/>
      <c r="AE30" s="93"/>
      <c r="AF30" s="93"/>
      <c r="AG30" s="93"/>
      <c r="AH30" s="93"/>
      <c r="AI30" s="93"/>
      <c r="AJ30" s="6"/>
      <c r="AK30" s="6"/>
      <c r="AL30" s="6"/>
      <c r="AM30" s="80"/>
      <c r="AN30" s="80"/>
      <c r="AO30" s="80"/>
      <c r="AP30" s="80"/>
      <c r="AQ30" s="80"/>
      <c r="AR30" s="80"/>
      <c r="AS30" s="80"/>
      <c r="AT30" s="80"/>
      <c r="AU30" s="80"/>
      <c r="AV30" s="80"/>
      <c r="AW30" s="80"/>
      <c r="AX30" s="80"/>
      <c r="AY30" s="80"/>
    </row>
    <row r="31" spans="1:51" ht="18" customHeight="1">
      <c r="A31" s="26" t="s">
        <v>0</v>
      </c>
      <c r="B31" s="91" t="s">
        <v>143</v>
      </c>
      <c r="C31" s="91" t="s">
        <v>144</v>
      </c>
      <c r="D31" s="91" t="s">
        <v>145</v>
      </c>
      <c r="E31" s="91" t="s">
        <v>146</v>
      </c>
      <c r="F31" s="91" t="s">
        <v>147</v>
      </c>
      <c r="G31" s="91" t="s">
        <v>148</v>
      </c>
      <c r="H31" s="91" t="s">
        <v>149</v>
      </c>
      <c r="I31" s="91" t="s">
        <v>150</v>
      </c>
      <c r="J31" s="91" t="s">
        <v>151</v>
      </c>
      <c r="K31" s="91" t="s">
        <v>152</v>
      </c>
      <c r="L31" s="6"/>
      <c r="M31" s="26" t="s">
        <v>0</v>
      </c>
      <c r="N31" s="91" t="s">
        <v>243</v>
      </c>
      <c r="O31" s="91" t="s">
        <v>244</v>
      </c>
      <c r="P31" s="91" t="s">
        <v>245</v>
      </c>
      <c r="Q31" s="91" t="s">
        <v>246</v>
      </c>
      <c r="R31" s="91" t="s">
        <v>247</v>
      </c>
      <c r="S31" s="91" t="s">
        <v>248</v>
      </c>
      <c r="T31" s="91" t="s">
        <v>249</v>
      </c>
      <c r="U31" s="91" t="s">
        <v>250</v>
      </c>
      <c r="V31" s="91" t="s">
        <v>251</v>
      </c>
      <c r="W31" s="91" t="s">
        <v>252</v>
      </c>
      <c r="X31" s="6"/>
      <c r="Y31" s="20"/>
      <c r="Z31" s="93"/>
      <c r="AA31" s="93"/>
      <c r="AB31" s="93"/>
      <c r="AC31" s="93"/>
      <c r="AD31" s="93"/>
      <c r="AE31" s="93"/>
      <c r="AF31" s="93"/>
      <c r="AG31" s="93"/>
      <c r="AH31" s="93"/>
      <c r="AI31" s="93"/>
      <c r="AJ31" s="6"/>
      <c r="AK31" s="6"/>
      <c r="AL31" s="6"/>
      <c r="AM31" s="80"/>
      <c r="AN31" s="80"/>
      <c r="AO31" s="80"/>
      <c r="AP31" s="80"/>
      <c r="AQ31" s="80"/>
      <c r="AR31" s="80"/>
      <c r="AS31" s="80"/>
      <c r="AT31" s="80"/>
      <c r="AU31" s="80"/>
      <c r="AV31" s="80"/>
      <c r="AW31" s="80"/>
      <c r="AX31" s="80"/>
      <c r="AY31" s="80"/>
    </row>
    <row r="32" spans="1:51" s="1" customFormat="1" ht="30" customHeight="1">
      <c r="A32" s="27" t="s">
        <v>1</v>
      </c>
      <c r="B32" s="133"/>
      <c r="C32" s="133"/>
      <c r="D32" s="133"/>
      <c r="E32" s="133"/>
      <c r="F32" s="133"/>
      <c r="G32" s="133"/>
      <c r="H32" s="133"/>
      <c r="I32" s="133"/>
      <c r="J32" s="133"/>
      <c r="K32" s="133"/>
      <c r="L32" s="8"/>
      <c r="M32" s="27" t="s">
        <v>1</v>
      </c>
      <c r="N32" s="133"/>
      <c r="O32" s="133"/>
      <c r="P32" s="133"/>
      <c r="Q32" s="133"/>
      <c r="R32" s="133"/>
      <c r="S32" s="133"/>
      <c r="T32" s="133"/>
      <c r="U32" s="133"/>
      <c r="V32" s="133"/>
      <c r="W32" s="133"/>
      <c r="X32" s="8"/>
      <c r="Y32" s="21"/>
      <c r="Z32" s="94"/>
      <c r="AA32" s="94"/>
      <c r="AB32" s="94"/>
      <c r="AC32" s="94"/>
      <c r="AD32" s="94"/>
      <c r="AE32" s="94"/>
      <c r="AF32" s="94"/>
      <c r="AG32" s="94"/>
      <c r="AH32" s="94"/>
      <c r="AI32" s="94"/>
      <c r="AJ32" s="8"/>
      <c r="AK32" s="8"/>
      <c r="AL32" s="8"/>
      <c r="AM32" s="8"/>
      <c r="AN32" s="8"/>
      <c r="AO32" s="8"/>
      <c r="AP32" s="8"/>
      <c r="AQ32" s="8"/>
      <c r="AR32" s="8"/>
      <c r="AS32" s="8"/>
      <c r="AT32" s="8"/>
      <c r="AU32" s="8"/>
      <c r="AV32" s="8"/>
      <c r="AW32" s="8"/>
      <c r="AX32" s="8"/>
      <c r="AY32" s="8"/>
    </row>
    <row r="33" spans="1:52" ht="9.75" customHeight="1">
      <c r="A33" s="15"/>
      <c r="B33" s="92"/>
      <c r="C33" s="92"/>
      <c r="D33" s="92"/>
      <c r="E33" s="92"/>
      <c r="F33" s="92"/>
      <c r="G33" s="92"/>
      <c r="H33" s="92"/>
      <c r="I33" s="92"/>
      <c r="J33" s="92"/>
      <c r="K33" s="92"/>
      <c r="L33" s="6"/>
      <c r="M33" s="15"/>
      <c r="N33" s="92"/>
      <c r="O33" s="92"/>
      <c r="P33" s="92"/>
      <c r="Q33" s="92"/>
      <c r="R33" s="92"/>
      <c r="S33" s="92"/>
      <c r="T33" s="92"/>
      <c r="U33" s="92"/>
      <c r="V33" s="92"/>
      <c r="W33" s="92"/>
      <c r="X33" s="6"/>
      <c r="Y33" s="20"/>
      <c r="Z33" s="93"/>
      <c r="AA33" s="93"/>
      <c r="AB33" s="93"/>
      <c r="AC33" s="93"/>
      <c r="AD33" s="93"/>
      <c r="AE33" s="93"/>
      <c r="AF33" s="93"/>
      <c r="AG33" s="93"/>
      <c r="AH33" s="93"/>
      <c r="AI33" s="93"/>
      <c r="AJ33" s="6"/>
      <c r="AK33" s="6"/>
      <c r="AL33" s="6"/>
      <c r="AM33" s="80"/>
      <c r="AN33" s="80"/>
      <c r="AO33" s="80"/>
      <c r="AP33" s="80"/>
      <c r="AQ33" s="80"/>
      <c r="AR33" s="80"/>
      <c r="AS33" s="80"/>
      <c r="AT33" s="80"/>
      <c r="AU33" s="80"/>
      <c r="AV33" s="80"/>
      <c r="AW33" s="80"/>
      <c r="AX33" s="80"/>
      <c r="AY33" s="80"/>
    </row>
    <row r="34" spans="1:52" ht="18" customHeight="1">
      <c r="A34" s="26" t="s">
        <v>0</v>
      </c>
      <c r="B34" s="91" t="s">
        <v>153</v>
      </c>
      <c r="C34" s="91" t="s">
        <v>154</v>
      </c>
      <c r="D34" s="91" t="s">
        <v>155</v>
      </c>
      <c r="E34" s="91" t="s">
        <v>156</v>
      </c>
      <c r="F34" s="91" t="s">
        <v>157</v>
      </c>
      <c r="G34" s="91" t="s">
        <v>158</v>
      </c>
      <c r="H34" s="91" t="s">
        <v>159</v>
      </c>
      <c r="I34" s="91" t="s">
        <v>160</v>
      </c>
      <c r="J34" s="91" t="s">
        <v>161</v>
      </c>
      <c r="K34" s="91" t="s">
        <v>162</v>
      </c>
      <c r="L34" s="6"/>
      <c r="M34" s="26" t="s">
        <v>0</v>
      </c>
      <c r="N34" s="91" t="s">
        <v>253</v>
      </c>
      <c r="O34" s="91" t="s">
        <v>254</v>
      </c>
      <c r="P34" s="91" t="s">
        <v>255</v>
      </c>
      <c r="Q34" s="91" t="s">
        <v>256</v>
      </c>
      <c r="R34" s="91" t="s">
        <v>257</v>
      </c>
      <c r="S34" s="91" t="s">
        <v>258</v>
      </c>
      <c r="T34" s="91" t="s">
        <v>259</v>
      </c>
      <c r="U34" s="91" t="s">
        <v>260</v>
      </c>
      <c r="V34" s="91" t="s">
        <v>261</v>
      </c>
      <c r="W34" s="91" t="s">
        <v>262</v>
      </c>
      <c r="X34" s="6"/>
      <c r="Y34" s="20"/>
      <c r="Z34" s="93"/>
      <c r="AA34" s="93"/>
      <c r="AB34" s="93"/>
      <c r="AC34" s="93"/>
      <c r="AD34" s="93"/>
      <c r="AE34" s="93"/>
      <c r="AF34" s="93"/>
      <c r="AG34" s="93"/>
      <c r="AH34" s="93"/>
      <c r="AI34" s="93"/>
      <c r="AJ34" s="6"/>
      <c r="AK34" s="6"/>
      <c r="AL34" s="6"/>
      <c r="AM34" s="80"/>
      <c r="AN34" s="80"/>
      <c r="AO34" s="80"/>
      <c r="AP34" s="80"/>
      <c r="AQ34" s="80"/>
      <c r="AR34" s="80"/>
      <c r="AS34" s="80"/>
      <c r="AT34" s="80"/>
      <c r="AU34" s="80"/>
      <c r="AV34" s="80"/>
      <c r="AW34" s="80"/>
      <c r="AX34" s="80"/>
      <c r="AY34" s="80"/>
    </row>
    <row r="35" spans="1:52" s="1" customFormat="1" ht="30" customHeight="1">
      <c r="A35" s="27" t="s">
        <v>1</v>
      </c>
      <c r="B35" s="133"/>
      <c r="C35" s="133"/>
      <c r="D35" s="133"/>
      <c r="E35" s="133"/>
      <c r="F35" s="133"/>
      <c r="G35" s="133"/>
      <c r="H35" s="133"/>
      <c r="I35" s="133"/>
      <c r="J35" s="133"/>
      <c r="K35" s="133"/>
      <c r="L35" s="8"/>
      <c r="M35" s="27" t="s">
        <v>1</v>
      </c>
      <c r="N35" s="133"/>
      <c r="O35" s="133"/>
      <c r="P35" s="133"/>
      <c r="Q35" s="133"/>
      <c r="R35" s="133"/>
      <c r="S35" s="133"/>
      <c r="T35" s="133"/>
      <c r="U35" s="133"/>
      <c r="V35" s="133"/>
      <c r="W35" s="133"/>
      <c r="X35" s="8"/>
      <c r="Y35" s="21"/>
      <c r="Z35" s="94"/>
      <c r="AA35" s="94"/>
      <c r="AB35" s="94"/>
      <c r="AC35" s="94"/>
      <c r="AD35" s="94"/>
      <c r="AE35" s="94"/>
      <c r="AF35" s="94"/>
      <c r="AG35" s="94"/>
      <c r="AH35" s="94"/>
      <c r="AI35" s="94"/>
      <c r="AJ35" s="8"/>
      <c r="AK35" s="8"/>
      <c r="AL35" s="8"/>
      <c r="AM35" s="8"/>
      <c r="AN35" s="8"/>
      <c r="AO35" s="8"/>
      <c r="AP35" s="8"/>
      <c r="AQ35" s="8"/>
      <c r="AR35" s="8"/>
      <c r="AS35" s="8"/>
      <c r="AT35" s="8"/>
      <c r="AU35" s="8"/>
      <c r="AV35" s="8"/>
      <c r="AW35" s="8"/>
      <c r="AX35" s="8"/>
      <c r="AY35" s="8"/>
    </row>
    <row r="36" spans="1:52" ht="9.75" customHeight="1">
      <c r="A36" s="15"/>
      <c r="B36" s="92"/>
      <c r="C36" s="92"/>
      <c r="D36" s="92"/>
      <c r="E36" s="92"/>
      <c r="F36" s="92"/>
      <c r="G36" s="92"/>
      <c r="H36" s="92"/>
      <c r="I36" s="92"/>
      <c r="J36" s="92"/>
      <c r="K36" s="92"/>
      <c r="L36" s="6"/>
      <c r="M36" s="15"/>
      <c r="N36" s="92"/>
      <c r="O36" s="92"/>
      <c r="P36" s="92"/>
      <c r="Q36" s="92"/>
      <c r="R36" s="92"/>
      <c r="S36" s="92"/>
      <c r="T36" s="92"/>
      <c r="U36" s="92"/>
      <c r="V36" s="92"/>
      <c r="W36" s="92"/>
      <c r="X36" s="6"/>
      <c r="Y36" s="20"/>
      <c r="Z36" s="93"/>
      <c r="AA36" s="93"/>
      <c r="AB36" s="93"/>
      <c r="AC36" s="93"/>
      <c r="AD36" s="93"/>
      <c r="AE36" s="93"/>
      <c r="AF36" s="93"/>
      <c r="AG36" s="93"/>
      <c r="AH36" s="93"/>
      <c r="AI36" s="93"/>
      <c r="AJ36" s="6"/>
      <c r="AK36" s="6"/>
      <c r="AL36" s="6"/>
      <c r="AM36" s="80"/>
      <c r="AN36" s="80"/>
      <c r="AO36" s="80"/>
      <c r="AP36" s="80"/>
      <c r="AQ36" s="80"/>
      <c r="AR36" s="80"/>
      <c r="AS36" s="80"/>
      <c r="AT36" s="80"/>
      <c r="AU36" s="80"/>
      <c r="AV36" s="80"/>
      <c r="AW36" s="80"/>
      <c r="AX36" s="80"/>
      <c r="AY36" s="80"/>
    </row>
    <row r="37" spans="1:52" ht="18" customHeight="1">
      <c r="A37" s="26" t="s">
        <v>0</v>
      </c>
      <c r="B37" s="91" t="s">
        <v>163</v>
      </c>
      <c r="C37" s="91" t="s">
        <v>164</v>
      </c>
      <c r="D37" s="91" t="s">
        <v>165</v>
      </c>
      <c r="E37" s="91" t="s">
        <v>166</v>
      </c>
      <c r="F37" s="91" t="s">
        <v>167</v>
      </c>
      <c r="G37" s="91" t="s">
        <v>168</v>
      </c>
      <c r="H37" s="91" t="s">
        <v>169</v>
      </c>
      <c r="I37" s="91" t="s">
        <v>170</v>
      </c>
      <c r="J37" s="91" t="s">
        <v>171</v>
      </c>
      <c r="K37" s="91" t="s">
        <v>172</v>
      </c>
      <c r="L37" s="6"/>
      <c r="M37" s="26" t="s">
        <v>0</v>
      </c>
      <c r="N37" s="91" t="s">
        <v>263</v>
      </c>
      <c r="O37" s="91" t="s">
        <v>264</v>
      </c>
      <c r="P37" s="91" t="s">
        <v>265</v>
      </c>
      <c r="Q37" s="91" t="s">
        <v>266</v>
      </c>
      <c r="R37" s="91" t="s">
        <v>267</v>
      </c>
      <c r="S37" s="91" t="s">
        <v>268</v>
      </c>
      <c r="T37" s="91" t="s">
        <v>269</v>
      </c>
      <c r="U37" s="91" t="s">
        <v>270</v>
      </c>
      <c r="V37" s="91" t="s">
        <v>271</v>
      </c>
      <c r="W37" s="91" t="s">
        <v>272</v>
      </c>
      <c r="X37" s="6"/>
      <c r="Y37" s="20"/>
      <c r="Z37" s="93"/>
      <c r="AA37" s="93"/>
      <c r="AB37" s="93"/>
      <c r="AC37" s="93"/>
      <c r="AD37" s="93"/>
      <c r="AE37" s="93"/>
      <c r="AF37" s="93"/>
      <c r="AG37" s="93"/>
      <c r="AH37" s="93"/>
      <c r="AI37" s="93"/>
      <c r="AJ37" s="6"/>
      <c r="AK37" s="6"/>
      <c r="AL37" s="6"/>
      <c r="AM37" s="80"/>
      <c r="AN37" s="80"/>
      <c r="AO37" s="80"/>
      <c r="AP37" s="80"/>
      <c r="AQ37" s="80"/>
      <c r="AR37" s="80"/>
      <c r="AS37" s="80"/>
      <c r="AT37" s="80"/>
      <c r="AU37" s="80"/>
      <c r="AV37" s="80"/>
      <c r="AW37" s="80"/>
      <c r="AX37" s="80"/>
      <c r="AY37" s="80"/>
    </row>
    <row r="38" spans="1:52" s="1" customFormat="1" ht="30" customHeight="1">
      <c r="A38" s="27" t="s">
        <v>1</v>
      </c>
      <c r="B38" s="133"/>
      <c r="C38" s="133"/>
      <c r="D38" s="133"/>
      <c r="E38" s="133"/>
      <c r="F38" s="133"/>
      <c r="G38" s="133"/>
      <c r="H38" s="133"/>
      <c r="I38" s="133"/>
      <c r="J38" s="133"/>
      <c r="K38" s="133"/>
      <c r="L38" s="8"/>
      <c r="M38" s="27" t="s">
        <v>1</v>
      </c>
      <c r="N38" s="133"/>
      <c r="O38" s="133"/>
      <c r="P38" s="133"/>
      <c r="Q38" s="133"/>
      <c r="R38" s="133"/>
      <c r="S38" s="133"/>
      <c r="T38" s="133"/>
      <c r="U38" s="133"/>
      <c r="V38" s="133"/>
      <c r="W38" s="133"/>
      <c r="X38" s="8"/>
      <c r="Y38" s="21"/>
      <c r="Z38" s="94"/>
      <c r="AA38" s="94"/>
      <c r="AB38" s="94"/>
      <c r="AC38" s="94"/>
      <c r="AD38" s="94"/>
      <c r="AE38" s="94"/>
      <c r="AF38" s="94"/>
      <c r="AG38" s="94"/>
      <c r="AH38" s="94"/>
      <c r="AI38" s="94"/>
      <c r="AJ38" s="8"/>
      <c r="AK38" s="8"/>
      <c r="AL38" s="8"/>
      <c r="AM38" s="8"/>
      <c r="AN38" s="8"/>
      <c r="AO38" s="8"/>
      <c r="AP38" s="8"/>
      <c r="AQ38" s="8"/>
      <c r="AR38" s="8"/>
      <c r="AS38" s="8"/>
      <c r="AT38" s="8"/>
      <c r="AU38" s="8"/>
      <c r="AV38" s="8"/>
      <c r="AW38" s="8"/>
      <c r="AX38" s="8"/>
      <c r="AY38" s="8"/>
    </row>
    <row r="39" spans="1:52" ht="15" customHeight="1" thickBot="1">
      <c r="A39" s="3"/>
      <c r="B39" s="3"/>
      <c r="C39" s="3"/>
      <c r="D39" s="3"/>
      <c r="E39" s="3"/>
      <c r="F39" s="3"/>
      <c r="G39" s="3"/>
      <c r="H39" s="3"/>
      <c r="I39" s="3"/>
      <c r="J39" s="3"/>
      <c r="K39" s="3"/>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80"/>
      <c r="AN39" s="80"/>
      <c r="AO39" s="80"/>
      <c r="AP39" s="80"/>
      <c r="AQ39" s="80"/>
      <c r="AR39" s="80"/>
      <c r="AS39" s="80"/>
      <c r="AT39" s="80"/>
      <c r="AU39" s="80"/>
      <c r="AV39" s="80"/>
      <c r="AW39" s="80"/>
      <c r="AX39" s="80"/>
      <c r="AY39" s="80"/>
    </row>
    <row r="40" spans="1:52" s="7" customFormat="1" ht="51" customHeight="1" thickBot="1">
      <c r="A40" s="175" t="s">
        <v>355</v>
      </c>
      <c r="B40" s="187" t="s">
        <v>378</v>
      </c>
      <c r="C40" s="188" t="s">
        <v>379</v>
      </c>
      <c r="D40" s="188" t="s">
        <v>380</v>
      </c>
      <c r="E40" s="188" t="s">
        <v>381</v>
      </c>
      <c r="F40" s="188" t="s">
        <v>382</v>
      </c>
      <c r="G40" s="188" t="s">
        <v>384</v>
      </c>
      <c r="H40" s="188" t="s">
        <v>383</v>
      </c>
      <c r="I40" s="188" t="s">
        <v>385</v>
      </c>
      <c r="J40" s="188" t="s">
        <v>386</v>
      </c>
      <c r="K40" s="125"/>
      <c r="L40" s="9"/>
      <c r="M40" s="176" t="s">
        <v>4</v>
      </c>
      <c r="N40" s="9"/>
      <c r="O40" s="9"/>
      <c r="P40" s="9"/>
      <c r="Q40" s="9"/>
      <c r="R40" s="9"/>
      <c r="S40" s="268" t="s">
        <v>356</v>
      </c>
      <c r="T40" s="269"/>
      <c r="U40" s="9"/>
      <c r="V40" s="9"/>
      <c r="W40" s="9"/>
      <c r="X40" s="9"/>
      <c r="Y40" s="9"/>
      <c r="Z40" s="9"/>
      <c r="AA40" s="9"/>
      <c r="AB40" s="9"/>
      <c r="AC40" s="9"/>
      <c r="AD40" s="9"/>
      <c r="AE40" s="9"/>
      <c r="AF40" s="9"/>
      <c r="AG40" s="9"/>
      <c r="AH40" s="9"/>
      <c r="AI40" s="9"/>
      <c r="AJ40" s="9"/>
      <c r="AK40" s="9"/>
      <c r="AL40" s="9"/>
      <c r="AM40" s="82"/>
      <c r="AN40" s="82"/>
      <c r="AO40" s="82"/>
      <c r="AP40" s="82"/>
      <c r="AQ40" s="82"/>
      <c r="AR40" s="82"/>
      <c r="AS40" s="82"/>
      <c r="AT40" s="82"/>
      <c r="AU40" s="82"/>
      <c r="AV40" s="82"/>
      <c r="AW40" s="82"/>
      <c r="AX40" s="82"/>
      <c r="AY40" s="82"/>
    </row>
    <row r="41" spans="1:52" ht="18" customHeight="1">
      <c r="A41" s="178" t="s">
        <v>329</v>
      </c>
      <c r="B41" s="158">
        <v>1</v>
      </c>
      <c r="C41" s="158">
        <v>3</v>
      </c>
      <c r="D41" s="158"/>
      <c r="E41" s="158"/>
      <c r="F41" s="156"/>
      <c r="G41" s="156"/>
      <c r="H41" s="156"/>
      <c r="I41" s="156"/>
      <c r="J41" s="156"/>
      <c r="K41" s="126"/>
      <c r="L41" s="6"/>
      <c r="M41" s="138" t="s">
        <v>616</v>
      </c>
      <c r="N41" s="6"/>
      <c r="O41" s="6"/>
      <c r="P41" s="6"/>
      <c r="Q41" s="6"/>
      <c r="R41" s="6"/>
      <c r="S41" s="146" t="s">
        <v>359</v>
      </c>
      <c r="T41" s="146" t="s">
        <v>360</v>
      </c>
      <c r="U41" s="139" t="s">
        <v>357</v>
      </c>
      <c r="V41" s="139" t="s">
        <v>358</v>
      </c>
      <c r="W41" s="6"/>
      <c r="X41" s="6"/>
      <c r="Y41" s="139" t="s">
        <v>618</v>
      </c>
      <c r="Z41" s="6"/>
      <c r="AA41" s="6"/>
      <c r="AB41" s="6"/>
      <c r="AC41" s="6"/>
      <c r="AD41" s="6"/>
      <c r="AE41" s="6"/>
      <c r="AF41" s="6"/>
      <c r="AG41" s="6"/>
      <c r="AH41" s="6"/>
      <c r="AI41" s="6"/>
      <c r="AJ41" s="6"/>
      <c r="AK41" s="6"/>
      <c r="AL41" s="6"/>
      <c r="AM41" s="80"/>
      <c r="AN41" s="80"/>
      <c r="AO41" s="80"/>
      <c r="AP41" s="80"/>
      <c r="AQ41" s="80"/>
      <c r="AR41" s="80"/>
      <c r="AS41" s="80"/>
      <c r="AT41" s="80"/>
      <c r="AU41" s="80"/>
      <c r="AV41" s="80"/>
      <c r="AW41" s="80"/>
      <c r="AX41" s="80"/>
      <c r="AY41" s="80"/>
    </row>
    <row r="42" spans="1:52" ht="18" customHeight="1" thickBot="1">
      <c r="A42" s="179" t="s">
        <v>330</v>
      </c>
      <c r="B42" s="162">
        <v>2</v>
      </c>
      <c r="C42" s="162">
        <v>4</v>
      </c>
      <c r="D42" s="162"/>
      <c r="E42" s="162"/>
      <c r="F42" s="225"/>
      <c r="G42" s="225"/>
      <c r="H42" s="225"/>
      <c r="I42" s="225"/>
      <c r="J42" s="225"/>
      <c r="K42" s="3"/>
      <c r="L42" s="6"/>
      <c r="M42" s="6"/>
      <c r="N42" s="6"/>
      <c r="O42" s="6"/>
      <c r="P42" s="6"/>
      <c r="Q42" s="6"/>
      <c r="R42" s="6"/>
      <c r="S42" s="144"/>
      <c r="T42" s="144"/>
      <c r="U42" s="144"/>
      <c r="V42" s="144"/>
      <c r="W42" s="6"/>
      <c r="X42" s="6"/>
      <c r="Y42" s="265">
        <v>19</v>
      </c>
      <c r="Z42" s="6"/>
      <c r="AA42" s="6"/>
      <c r="AB42" s="6"/>
      <c r="AC42" s="6"/>
      <c r="AD42" s="6"/>
      <c r="AE42" s="6"/>
      <c r="AF42" s="6"/>
      <c r="AG42" s="6"/>
      <c r="AH42" s="6"/>
      <c r="AI42" s="6"/>
      <c r="AJ42" s="6"/>
      <c r="AK42" s="6"/>
      <c r="AL42" s="6"/>
      <c r="AM42" s="80"/>
      <c r="AN42" s="80"/>
      <c r="AO42" s="80"/>
      <c r="AP42" s="80"/>
      <c r="AQ42" s="80"/>
      <c r="AR42" s="80"/>
      <c r="AS42" s="80"/>
      <c r="AT42" s="80"/>
      <c r="AU42" s="80"/>
      <c r="AV42" s="80"/>
      <c r="AW42" s="80"/>
      <c r="AX42" s="80"/>
      <c r="AY42" s="80"/>
    </row>
    <row r="43" spans="1:52" ht="18" customHeight="1">
      <c r="A43" s="180" t="s">
        <v>364</v>
      </c>
      <c r="B43" s="157"/>
      <c r="C43" s="158"/>
      <c r="D43" s="158"/>
      <c r="E43" s="158"/>
      <c r="F43" s="158"/>
      <c r="G43" s="158"/>
      <c r="H43" s="158"/>
      <c r="I43" s="158"/>
      <c r="J43" s="159"/>
      <c r="K43" s="126"/>
      <c r="L43" s="126"/>
      <c r="M43" s="126"/>
      <c r="N43" s="126"/>
      <c r="O43" s="126"/>
      <c r="P43" s="255" t="s">
        <v>411</v>
      </c>
      <c r="Q43" s="144" t="s">
        <v>412</v>
      </c>
      <c r="R43" s="126"/>
      <c r="S43" s="139" t="s">
        <v>365</v>
      </c>
      <c r="T43" s="139" t="s">
        <v>366</v>
      </c>
      <c r="U43" s="139" t="s">
        <v>367</v>
      </c>
      <c r="V43" s="139" t="s">
        <v>368</v>
      </c>
      <c r="W43" s="126"/>
      <c r="X43" s="126"/>
      <c r="Y43" s="139" t="s">
        <v>619</v>
      </c>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64"/>
    </row>
    <row r="44" spans="1:52" ht="18" customHeight="1" thickBot="1">
      <c r="A44" s="179" t="s">
        <v>387</v>
      </c>
      <c r="B44" s="161"/>
      <c r="C44" s="162"/>
      <c r="D44" s="225"/>
      <c r="E44" s="225"/>
      <c r="F44" s="225"/>
      <c r="G44" s="225"/>
      <c r="H44" s="225"/>
      <c r="I44" s="225"/>
      <c r="J44" s="226"/>
      <c r="K44" s="232"/>
      <c r="L44" s="80"/>
      <c r="M44" s="80"/>
      <c r="N44" s="80"/>
      <c r="O44" s="80"/>
      <c r="P44" s="80"/>
      <c r="Q44" s="80"/>
      <c r="R44" s="80"/>
      <c r="S44" s="144"/>
      <c r="T44" s="144"/>
      <c r="U44" s="144"/>
      <c r="V44" s="144"/>
      <c r="W44" s="6"/>
      <c r="X44" s="6"/>
      <c r="Y44" s="265">
        <v>19</v>
      </c>
      <c r="Z44" s="6"/>
      <c r="AA44" s="6"/>
      <c r="AB44" s="6"/>
      <c r="AC44" s="6"/>
      <c r="AD44" s="6"/>
      <c r="AE44" s="6"/>
      <c r="AF44" s="6"/>
      <c r="AG44" s="6"/>
      <c r="AH44" s="6"/>
      <c r="AI44" s="6"/>
      <c r="AJ44" s="6"/>
      <c r="AK44" s="6"/>
      <c r="AL44" s="6"/>
      <c r="AM44" s="80"/>
      <c r="AN44" s="80"/>
      <c r="AO44" s="80"/>
      <c r="AP44" s="80"/>
      <c r="AQ44" s="80"/>
      <c r="AR44" s="80"/>
      <c r="AS44" s="80"/>
      <c r="AT44" s="80"/>
      <c r="AU44" s="80"/>
      <c r="AV44" s="80"/>
      <c r="AW44" s="80"/>
      <c r="AX44" s="80"/>
      <c r="AY44" s="80"/>
    </row>
    <row r="45" spans="1:52" ht="18" customHeight="1">
      <c r="A45" s="181" t="s">
        <v>373</v>
      </c>
      <c r="B45" s="223"/>
      <c r="C45" s="138"/>
      <c r="D45" s="138"/>
      <c r="E45" s="138">
        <v>1</v>
      </c>
      <c r="F45" s="138"/>
      <c r="G45" s="138"/>
      <c r="H45" s="138"/>
      <c r="I45" s="138"/>
      <c r="J45" s="224"/>
      <c r="K45" s="80"/>
      <c r="L45" s="278" t="s">
        <v>403</v>
      </c>
      <c r="M45" s="80"/>
      <c r="N45" s="80"/>
      <c r="O45" s="80"/>
      <c r="P45" s="80"/>
      <c r="Q45" s="80"/>
      <c r="R45" s="80"/>
      <c r="S45" s="126"/>
      <c r="T45" s="126"/>
      <c r="U45" s="126"/>
      <c r="V45" s="126"/>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4"/>
    </row>
    <row r="46" spans="1:52" ht="18" customHeight="1" thickBot="1">
      <c r="A46" s="182" t="s">
        <v>28</v>
      </c>
      <c r="B46" s="227" t="s">
        <v>516</v>
      </c>
      <c r="C46" s="227" t="str">
        <f>B46</f>
        <v>Stall Incidence</v>
      </c>
      <c r="D46" s="227" t="str">
        <f>C46</f>
        <v>Stall Incidence</v>
      </c>
      <c r="E46" s="227" t="str">
        <f>D46</f>
        <v>Stall Incidence</v>
      </c>
      <c r="F46" s="227"/>
      <c r="G46" s="228"/>
      <c r="H46" s="228"/>
      <c r="I46" s="228"/>
      <c r="J46" s="229"/>
      <c r="K46" s="232"/>
      <c r="L46" s="279"/>
      <c r="M46" s="80"/>
      <c r="N46" s="80"/>
      <c r="O46" s="80"/>
      <c r="P46" s="80"/>
      <c r="Q46" s="80"/>
      <c r="R46" s="80"/>
      <c r="S46" s="80"/>
      <c r="T46" s="80"/>
      <c r="U46" s="126"/>
      <c r="V46" s="126"/>
      <c r="W46" s="126"/>
      <c r="X46" s="126"/>
      <c r="Y46" s="126"/>
      <c r="Z46" s="126"/>
      <c r="AA46" s="126"/>
      <c r="AB46" s="126"/>
      <c r="AC46" s="126"/>
      <c r="AD46" s="126"/>
      <c r="AE46" s="126"/>
      <c r="AF46" s="126"/>
      <c r="AG46" s="126"/>
      <c r="AH46" s="126"/>
      <c r="AI46" s="126"/>
      <c r="AJ46" s="126"/>
      <c r="AK46" s="126"/>
      <c r="AL46" s="126"/>
      <c r="AM46" s="126"/>
      <c r="AN46" s="126"/>
      <c r="AO46" s="126"/>
      <c r="AP46" s="126"/>
      <c r="AQ46" s="126"/>
      <c r="AR46" s="126"/>
      <c r="AS46" s="126"/>
      <c r="AT46" s="126"/>
      <c r="AU46" s="126"/>
      <c r="AV46" s="126"/>
      <c r="AW46" s="126"/>
      <c r="AX46" s="126"/>
      <c r="AY46" s="126"/>
      <c r="AZ46" s="164"/>
    </row>
    <row r="47" spans="1:52" ht="18" customHeight="1" thickBot="1">
      <c r="A47" s="180" t="s">
        <v>363</v>
      </c>
      <c r="B47" s="157">
        <v>16</v>
      </c>
      <c r="C47" s="157">
        <v>16</v>
      </c>
      <c r="D47" s="157">
        <v>16</v>
      </c>
      <c r="E47" s="157">
        <v>16</v>
      </c>
      <c r="F47" s="158"/>
      <c r="G47" s="158"/>
      <c r="H47" s="158"/>
      <c r="I47" s="158"/>
      <c r="J47" s="159"/>
      <c r="L47" s="280"/>
      <c r="M47" s="80"/>
      <c r="N47" s="80"/>
      <c r="O47" s="80"/>
      <c r="P47" s="80"/>
      <c r="Q47" s="80"/>
      <c r="R47" s="80"/>
      <c r="S47" s="80"/>
      <c r="T47" s="80"/>
      <c r="U47" s="126"/>
      <c r="V47" s="126"/>
      <c r="W47" s="126"/>
      <c r="X47" s="126"/>
      <c r="Y47" s="126"/>
      <c r="Z47" s="126"/>
      <c r="AA47" s="126"/>
      <c r="AB47" s="126"/>
      <c r="AC47" s="126"/>
      <c r="AD47" s="126"/>
      <c r="AE47" s="126"/>
      <c r="AF47" s="126"/>
      <c r="AG47" s="126"/>
      <c r="AH47" s="126"/>
      <c r="AI47" s="126"/>
      <c r="AJ47" s="126"/>
      <c r="AK47" s="126"/>
      <c r="AL47" s="126"/>
      <c r="AM47" s="126"/>
      <c r="AN47" s="126"/>
      <c r="AO47" s="126"/>
      <c r="AP47" s="126"/>
      <c r="AQ47" s="126"/>
      <c r="AR47" s="126"/>
      <c r="AS47" s="126"/>
      <c r="AT47" s="126"/>
      <c r="AU47" s="126"/>
      <c r="AV47" s="126"/>
      <c r="AW47" s="126"/>
      <c r="AX47" s="126"/>
      <c r="AY47" s="126"/>
      <c r="AZ47" s="164"/>
    </row>
    <row r="48" spans="1:52" ht="18" customHeight="1" thickBot="1">
      <c r="A48" s="183" t="s">
        <v>361</v>
      </c>
      <c r="B48" s="165">
        <v>12</v>
      </c>
      <c r="C48" s="165">
        <v>12</v>
      </c>
      <c r="D48" s="165">
        <v>12</v>
      </c>
      <c r="E48" s="165">
        <v>12</v>
      </c>
      <c r="F48" s="144"/>
      <c r="G48" s="144"/>
      <c r="H48" s="144"/>
      <c r="I48" s="144"/>
      <c r="J48" s="166"/>
      <c r="K48" s="126"/>
      <c r="L48" s="241"/>
      <c r="M48" s="242" t="s">
        <v>402</v>
      </c>
      <c r="N48" s="243" t="s">
        <v>398</v>
      </c>
      <c r="O48" s="243" t="s">
        <v>399</v>
      </c>
      <c r="P48" s="244"/>
      <c r="Q48" s="243" t="s">
        <v>402</v>
      </c>
      <c r="R48" s="243" t="s">
        <v>398</v>
      </c>
      <c r="S48" s="243" t="s">
        <v>399</v>
      </c>
      <c r="T48" s="245"/>
      <c r="U48" s="126"/>
      <c r="V48" s="126"/>
      <c r="W48" s="264" t="s">
        <v>609</v>
      </c>
      <c r="X48" s="264" t="s">
        <v>608</v>
      </c>
      <c r="Y48" s="126"/>
      <c r="Z48" s="126"/>
      <c r="AA48" s="126"/>
      <c r="AB48" s="126"/>
      <c r="AC48" s="126"/>
      <c r="AD48" s="126"/>
      <c r="AE48" s="126"/>
      <c r="AF48" s="126"/>
      <c r="AG48" s="126"/>
      <c r="AH48" s="126"/>
      <c r="AI48" s="126"/>
      <c r="AJ48" s="126"/>
      <c r="AK48" s="126"/>
      <c r="AL48" s="126"/>
      <c r="AM48" s="126"/>
      <c r="AN48" s="126"/>
      <c r="AO48" s="126"/>
      <c r="AP48" s="126"/>
      <c r="AQ48" s="126"/>
      <c r="AR48" s="126"/>
      <c r="AS48" s="126"/>
      <c r="AT48" s="126"/>
      <c r="AU48" s="126"/>
      <c r="AV48" s="126"/>
      <c r="AW48" s="126"/>
      <c r="AX48" s="126"/>
      <c r="AY48" s="126"/>
      <c r="AZ48" s="164"/>
    </row>
    <row r="49" spans="1:52" ht="18" customHeight="1">
      <c r="A49" s="266" t="s">
        <v>622</v>
      </c>
      <c r="B49" s="165">
        <v>14</v>
      </c>
      <c r="C49" s="165">
        <v>14</v>
      </c>
      <c r="D49" s="165">
        <v>14</v>
      </c>
      <c r="E49" s="165">
        <v>14</v>
      </c>
      <c r="F49" s="144"/>
      <c r="G49" s="144"/>
      <c r="H49" s="144"/>
      <c r="I49" s="144"/>
      <c r="J49" s="166"/>
      <c r="K49" s="126"/>
      <c r="L49" s="246"/>
      <c r="M49" s="157" t="s">
        <v>617</v>
      </c>
      <c r="N49" s="158">
        <v>0.05</v>
      </c>
      <c r="O49" s="159">
        <v>8.5000000000000006E-2</v>
      </c>
      <c r="P49" s="126" t="s">
        <v>400</v>
      </c>
      <c r="Q49" s="157" t="s">
        <v>617</v>
      </c>
      <c r="R49" s="158">
        <v>0.11</v>
      </c>
      <c r="S49" s="159">
        <v>0.16</v>
      </c>
      <c r="T49" s="247"/>
      <c r="U49" s="126"/>
      <c r="V49" s="126"/>
      <c r="W49" s="262">
        <v>1</v>
      </c>
      <c r="X49" s="262">
        <v>2</v>
      </c>
      <c r="Y49" s="126"/>
      <c r="Z49" s="126"/>
      <c r="AA49" s="126"/>
      <c r="AB49" s="126"/>
      <c r="AC49" s="126"/>
      <c r="AD49" s="126"/>
      <c r="AE49" s="126"/>
      <c r="AF49" s="126"/>
      <c r="AG49" s="126"/>
      <c r="AH49" s="126"/>
      <c r="AI49" s="126"/>
      <c r="AJ49" s="126"/>
      <c r="AK49" s="126"/>
      <c r="AL49" s="126"/>
      <c r="AM49" s="126"/>
      <c r="AN49" s="126"/>
      <c r="AO49" s="126"/>
      <c r="AP49" s="126"/>
      <c r="AQ49" s="126"/>
      <c r="AR49" s="126"/>
      <c r="AS49" s="126"/>
      <c r="AT49" s="126"/>
      <c r="AU49" s="126"/>
      <c r="AV49" s="126"/>
      <c r="AW49" s="126"/>
      <c r="AX49" s="126"/>
      <c r="AY49" s="126"/>
      <c r="AZ49" s="164"/>
    </row>
    <row r="50" spans="1:52" ht="18" customHeight="1" thickBot="1">
      <c r="A50" s="183" t="s">
        <v>362</v>
      </c>
      <c r="B50" s="161">
        <v>10</v>
      </c>
      <c r="C50" s="161">
        <v>10</v>
      </c>
      <c r="D50" s="161">
        <v>10</v>
      </c>
      <c r="E50" s="161">
        <v>10</v>
      </c>
      <c r="F50" s="162"/>
      <c r="G50" s="162"/>
      <c r="H50" s="162"/>
      <c r="I50" s="162"/>
      <c r="J50" s="163"/>
      <c r="K50" s="126"/>
      <c r="L50" s="252" t="s">
        <v>401</v>
      </c>
      <c r="M50" s="165" t="s">
        <v>412</v>
      </c>
      <c r="N50" s="144">
        <v>0.9</v>
      </c>
      <c r="O50" s="166">
        <v>1.1000000000000001</v>
      </c>
      <c r="P50" s="126" t="s">
        <v>400</v>
      </c>
      <c r="Q50" s="165"/>
      <c r="R50" s="144"/>
      <c r="S50" s="166"/>
      <c r="T50" s="247"/>
      <c r="U50" s="126" t="s">
        <v>503</v>
      </c>
      <c r="V50" s="126"/>
      <c r="W50" s="264" t="s">
        <v>605</v>
      </c>
      <c r="X50" s="126"/>
      <c r="Y50" s="126"/>
      <c r="Z50" s="126"/>
      <c r="AA50" s="126"/>
      <c r="AB50" s="126"/>
      <c r="AC50" s="126"/>
      <c r="AD50" s="126"/>
      <c r="AE50" s="126"/>
      <c r="AF50" s="126"/>
      <c r="AG50" s="126"/>
      <c r="AH50" s="126"/>
      <c r="AI50" s="126"/>
      <c r="AJ50" s="126"/>
      <c r="AK50" s="126"/>
      <c r="AL50" s="126"/>
      <c r="AM50" s="126"/>
      <c r="AN50" s="126"/>
      <c r="AO50" s="126"/>
      <c r="AP50" s="126"/>
      <c r="AQ50" s="126"/>
      <c r="AR50" s="126"/>
      <c r="AS50" s="126"/>
      <c r="AT50" s="126"/>
      <c r="AU50" s="126"/>
      <c r="AV50" s="126"/>
      <c r="AW50" s="126"/>
      <c r="AX50" s="126"/>
      <c r="AY50" s="126"/>
      <c r="AZ50" s="164"/>
    </row>
    <row r="51" spans="1:52" ht="18.75" thickBot="1">
      <c r="B51" s="23"/>
      <c r="C51" s="23"/>
      <c r="D51" s="23"/>
      <c r="E51" s="23"/>
      <c r="F51" s="23"/>
      <c r="G51" s="23"/>
      <c r="H51" s="23"/>
      <c r="I51" s="23"/>
      <c r="J51" s="23"/>
      <c r="K51" s="23"/>
      <c r="L51" s="252" t="s">
        <v>401</v>
      </c>
      <c r="M51" s="161"/>
      <c r="N51" s="162"/>
      <c r="O51" s="163"/>
      <c r="P51" s="126" t="s">
        <v>400</v>
      </c>
      <c r="Q51" s="161"/>
      <c r="R51" s="162"/>
      <c r="S51" s="163"/>
      <c r="T51" s="247"/>
      <c r="U51" s="23"/>
      <c r="V51" s="23"/>
      <c r="W51" s="263" t="s">
        <v>606</v>
      </c>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row>
    <row r="52" spans="1:52" ht="18.75" thickBot="1">
      <c r="A52" s="3"/>
      <c r="B52" s="3"/>
      <c r="C52" s="3"/>
      <c r="D52" s="3"/>
      <c r="E52" s="3"/>
      <c r="F52" s="3"/>
      <c r="G52" s="3"/>
      <c r="H52" s="3"/>
      <c r="I52" s="3"/>
      <c r="J52" s="3"/>
      <c r="K52" s="3"/>
      <c r="L52" s="248"/>
      <c r="M52" s="249"/>
      <c r="N52" s="250"/>
      <c r="O52" s="250"/>
      <c r="P52" s="250"/>
      <c r="Q52" s="250"/>
      <c r="R52" s="250"/>
      <c r="S52" s="250"/>
      <c r="T52" s="251"/>
      <c r="U52" s="6"/>
      <c r="V52" s="6"/>
      <c r="W52" s="19"/>
      <c r="X52" s="6"/>
      <c r="Y52" s="6"/>
      <c r="Z52" s="6"/>
      <c r="AA52" s="6"/>
      <c r="AB52" s="6"/>
      <c r="AC52" s="6"/>
      <c r="AD52" s="6"/>
      <c r="AE52" s="6"/>
      <c r="AF52" s="6"/>
      <c r="AG52" s="6"/>
      <c r="AH52" s="6"/>
      <c r="AI52" s="6"/>
      <c r="AJ52" s="6"/>
      <c r="AK52" s="6"/>
      <c r="AL52" s="6"/>
      <c r="AM52" s="80"/>
      <c r="AN52" s="80"/>
      <c r="AO52" s="80"/>
      <c r="AP52" s="80"/>
      <c r="AQ52" s="80"/>
      <c r="AR52" s="80"/>
      <c r="AS52" s="80"/>
      <c r="AT52" s="80"/>
      <c r="AU52" s="80"/>
      <c r="AV52" s="80"/>
      <c r="AW52" s="80"/>
      <c r="AX52" s="80"/>
      <c r="AY52" s="80"/>
    </row>
    <row r="53" spans="1:52" ht="15.75" thickBot="1">
      <c r="A53" s="3"/>
      <c r="B53" s="3"/>
      <c r="C53" s="3"/>
      <c r="D53" s="3"/>
      <c r="E53" s="3"/>
      <c r="F53" s="3"/>
      <c r="G53" s="3"/>
      <c r="H53" s="3"/>
      <c r="I53" s="3"/>
      <c r="J53" s="3"/>
      <c r="K53" s="3"/>
      <c r="L53" s="6"/>
      <c r="M53" s="240"/>
      <c r="N53" s="6"/>
      <c r="O53" s="6"/>
      <c r="P53" s="6"/>
      <c r="Q53" s="6"/>
      <c r="R53" s="6"/>
      <c r="S53" s="6"/>
      <c r="T53" s="6"/>
      <c r="U53" s="6"/>
      <c r="V53" s="6"/>
      <c r="W53" s="6"/>
      <c r="X53" s="6"/>
      <c r="Y53" s="6"/>
      <c r="Z53" s="6"/>
      <c r="AA53" s="6"/>
      <c r="AB53" s="6"/>
      <c r="AC53" s="6"/>
      <c r="AD53" s="6"/>
      <c r="AE53" s="6"/>
      <c r="AF53" s="6"/>
      <c r="AG53" s="6"/>
      <c r="AH53" s="6"/>
      <c r="AI53" s="6"/>
      <c r="AJ53" s="6"/>
      <c r="AK53" s="6"/>
      <c r="AL53" s="6"/>
      <c r="AM53" s="80"/>
      <c r="AN53" s="80"/>
      <c r="AO53" s="80"/>
      <c r="AP53" s="80"/>
      <c r="AQ53" s="80"/>
      <c r="AR53" s="80"/>
      <c r="AS53" s="80"/>
      <c r="AT53" s="80"/>
      <c r="AU53" s="80"/>
      <c r="AV53" s="80"/>
      <c r="AW53" s="80"/>
      <c r="AX53" s="80"/>
      <c r="AY53" s="80"/>
    </row>
    <row r="54" spans="1:52" ht="50.1" customHeight="1" thickBot="1">
      <c r="A54" s="184" t="s">
        <v>65</v>
      </c>
      <c r="B54" s="123">
        <v>56</v>
      </c>
      <c r="C54" s="184" t="s">
        <v>607</v>
      </c>
      <c r="D54" s="123"/>
      <c r="E54" s="3"/>
      <c r="F54" s="3"/>
      <c r="G54" s="3"/>
      <c r="H54" s="3"/>
      <c r="I54" s="3"/>
      <c r="J54" s="3"/>
      <c r="K54" s="3"/>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80"/>
      <c r="AN54" s="80"/>
      <c r="AO54" s="80"/>
      <c r="AP54" s="80"/>
      <c r="AQ54" s="80"/>
      <c r="AR54" s="80"/>
      <c r="AS54" s="80"/>
      <c r="AT54" s="80"/>
      <c r="AU54" s="80"/>
      <c r="AV54" s="80"/>
      <c r="AW54" s="80"/>
      <c r="AX54" s="80"/>
      <c r="AY54" s="80"/>
    </row>
    <row r="55" spans="1:52" ht="18">
      <c r="A55" s="124" t="s">
        <v>66</v>
      </c>
      <c r="B55" s="138"/>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1:52" ht="18.75" thickBot="1">
      <c r="A56" s="227" t="s">
        <v>501</v>
      </c>
      <c r="B56" s="144">
        <v>0</v>
      </c>
      <c r="C56" s="144"/>
      <c r="D56" s="144"/>
      <c r="E56" s="144">
        <v>0</v>
      </c>
      <c r="F56" s="144">
        <v>0</v>
      </c>
      <c r="G56" s="144">
        <v>0</v>
      </c>
      <c r="H56" s="144">
        <v>0</v>
      </c>
      <c r="I56" s="144">
        <v>0</v>
      </c>
      <c r="J56" s="144">
        <v>0</v>
      </c>
      <c r="K56" s="144">
        <v>0</v>
      </c>
      <c r="L56" s="144">
        <v>0</v>
      </c>
      <c r="M56" s="144">
        <v>0</v>
      </c>
      <c r="N56" s="144">
        <v>0</v>
      </c>
      <c r="O56" s="144">
        <v>0</v>
      </c>
      <c r="P56" s="144">
        <v>0</v>
      </c>
      <c r="Q56" s="144">
        <v>0</v>
      </c>
      <c r="R56" s="144">
        <v>0</v>
      </c>
      <c r="S56" s="144">
        <v>0</v>
      </c>
      <c r="T56" s="144">
        <v>0</v>
      </c>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1:52" ht="18.75" thickBot="1">
      <c r="A57" s="227" t="s">
        <v>502</v>
      </c>
      <c r="B57" s="144">
        <v>0</v>
      </c>
      <c r="C57" s="144">
        <v>0</v>
      </c>
      <c r="D57" s="144">
        <v>0</v>
      </c>
      <c r="E57" s="144">
        <v>0</v>
      </c>
      <c r="F57" s="144">
        <v>0</v>
      </c>
      <c r="G57" s="144" t="s">
        <v>503</v>
      </c>
      <c r="H57" s="144" t="s">
        <v>503</v>
      </c>
      <c r="I57" s="144" t="s">
        <v>503</v>
      </c>
      <c r="J57" s="144" t="s">
        <v>503</v>
      </c>
      <c r="K57" s="144" t="s">
        <v>503</v>
      </c>
      <c r="L57" s="144">
        <v>0</v>
      </c>
      <c r="M57" s="144">
        <v>0</v>
      </c>
      <c r="N57" s="144">
        <v>0</v>
      </c>
      <c r="O57" s="144">
        <v>0</v>
      </c>
      <c r="P57" s="144">
        <v>0</v>
      </c>
      <c r="Q57" s="144">
        <v>0</v>
      </c>
      <c r="R57" s="144">
        <v>0</v>
      </c>
      <c r="S57" s="144">
        <v>0</v>
      </c>
      <c r="T57" s="144">
        <v>0</v>
      </c>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1:52" ht="18.75" thickBot="1">
      <c r="A58" s="227" t="s">
        <v>416</v>
      </c>
      <c r="B58" s="144">
        <v>0</v>
      </c>
      <c r="C58" s="144">
        <v>0</v>
      </c>
      <c r="D58" s="144">
        <v>0</v>
      </c>
      <c r="E58" s="144">
        <v>0</v>
      </c>
      <c r="F58" s="144">
        <v>0</v>
      </c>
      <c r="G58" s="144">
        <v>0</v>
      </c>
      <c r="H58" s="144">
        <v>0</v>
      </c>
      <c r="I58" s="144">
        <v>0</v>
      </c>
      <c r="J58" s="144">
        <v>0</v>
      </c>
      <c r="K58" s="144">
        <v>0</v>
      </c>
      <c r="L58" s="144" t="s">
        <v>503</v>
      </c>
      <c r="M58" s="144" t="s">
        <v>503</v>
      </c>
      <c r="N58" s="144" t="s">
        <v>503</v>
      </c>
      <c r="O58" s="144"/>
      <c r="P58" s="144"/>
      <c r="Q58" s="144"/>
      <c r="R58" s="144"/>
      <c r="S58" s="144">
        <v>0</v>
      </c>
      <c r="T58" s="144">
        <v>0</v>
      </c>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1:52" ht="18.75" thickBot="1">
      <c r="A59" s="227" t="s">
        <v>507</v>
      </c>
      <c r="B59" s="144"/>
      <c r="C59" s="144">
        <v>0</v>
      </c>
      <c r="D59" s="144">
        <v>0</v>
      </c>
      <c r="E59" s="144">
        <v>0</v>
      </c>
      <c r="F59" s="144">
        <v>0</v>
      </c>
      <c r="G59" s="144">
        <v>0</v>
      </c>
      <c r="H59" s="144">
        <v>0</v>
      </c>
      <c r="I59" s="144">
        <v>0</v>
      </c>
      <c r="J59" s="144">
        <v>0</v>
      </c>
      <c r="K59" s="144">
        <v>0</v>
      </c>
      <c r="L59" s="144">
        <v>0</v>
      </c>
      <c r="M59" s="144">
        <v>0</v>
      </c>
      <c r="N59" s="144">
        <v>0</v>
      </c>
      <c r="O59" s="144">
        <v>0</v>
      </c>
      <c r="P59" s="144">
        <v>0</v>
      </c>
      <c r="Q59" s="144">
        <v>0</v>
      </c>
      <c r="R59" s="144">
        <v>0</v>
      </c>
      <c r="S59" s="144">
        <v>0</v>
      </c>
      <c r="T59" s="144">
        <v>0</v>
      </c>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1:52" ht="18.75" thickBot="1">
      <c r="A60" s="227" t="s">
        <v>508</v>
      </c>
      <c r="B60" s="144"/>
      <c r="C60" s="144">
        <v>0</v>
      </c>
      <c r="D60" s="144">
        <v>0</v>
      </c>
      <c r="E60" s="144">
        <v>0</v>
      </c>
      <c r="F60" s="144">
        <v>0</v>
      </c>
      <c r="G60" s="144"/>
      <c r="H60" s="144"/>
      <c r="I60" s="144"/>
      <c r="J60" s="144"/>
      <c r="K60" s="144"/>
      <c r="L60" s="144">
        <v>0</v>
      </c>
      <c r="M60" s="144">
        <v>0</v>
      </c>
      <c r="N60" s="144">
        <v>0</v>
      </c>
      <c r="O60" s="144">
        <v>0</v>
      </c>
      <c r="P60" s="144">
        <v>0</v>
      </c>
      <c r="Q60" s="144">
        <v>0</v>
      </c>
      <c r="R60" s="144">
        <v>0</v>
      </c>
      <c r="S60" s="144">
        <v>0</v>
      </c>
      <c r="T60" s="144">
        <v>0</v>
      </c>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1:52" ht="18.75" thickBot="1">
      <c r="A61" s="261">
        <v>0.1</v>
      </c>
      <c r="B61" s="144">
        <v>0</v>
      </c>
      <c r="C61" s="144">
        <v>0</v>
      </c>
      <c r="D61" s="144">
        <v>0</v>
      </c>
      <c r="E61" s="144">
        <v>0</v>
      </c>
      <c r="F61" s="144">
        <v>0</v>
      </c>
      <c r="G61" s="144">
        <v>0</v>
      </c>
      <c r="H61" s="144">
        <v>0</v>
      </c>
      <c r="I61" s="144" t="s">
        <v>503</v>
      </c>
      <c r="J61" s="144">
        <v>0</v>
      </c>
      <c r="K61" s="144">
        <v>0</v>
      </c>
      <c r="L61" s="144">
        <v>0</v>
      </c>
      <c r="M61" s="144">
        <v>0</v>
      </c>
      <c r="N61" s="144">
        <v>0</v>
      </c>
      <c r="O61" s="144">
        <v>0</v>
      </c>
      <c r="P61" s="144">
        <v>0</v>
      </c>
      <c r="Q61" s="144">
        <v>0</v>
      </c>
      <c r="R61" s="144">
        <v>0</v>
      </c>
      <c r="S61" s="144">
        <v>0</v>
      </c>
      <c r="T61" s="144">
        <v>0</v>
      </c>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1:52" ht="18">
      <c r="A62" s="122">
        <v>1</v>
      </c>
      <c r="B62" s="144">
        <v>0</v>
      </c>
      <c r="C62" s="144">
        <v>0</v>
      </c>
      <c r="D62" s="144">
        <v>0</v>
      </c>
      <c r="E62" s="144">
        <v>0</v>
      </c>
      <c r="F62" s="144">
        <v>0</v>
      </c>
      <c r="G62" s="144">
        <v>0</v>
      </c>
      <c r="H62" s="144">
        <v>0</v>
      </c>
      <c r="I62" s="144">
        <v>0</v>
      </c>
      <c r="J62" s="144">
        <v>0</v>
      </c>
      <c r="K62" s="144">
        <v>0</v>
      </c>
      <c r="L62" s="144">
        <v>0</v>
      </c>
      <c r="M62" s="144" t="s">
        <v>503</v>
      </c>
      <c r="N62" s="144">
        <v>0</v>
      </c>
      <c r="O62" s="144">
        <v>0</v>
      </c>
      <c r="P62" s="144">
        <v>0</v>
      </c>
      <c r="Q62" s="144">
        <v>0</v>
      </c>
      <c r="R62" s="144">
        <v>0</v>
      </c>
      <c r="S62" s="144">
        <v>0</v>
      </c>
      <c r="T62" s="144">
        <v>0</v>
      </c>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1:52" ht="18">
      <c r="A63" s="122">
        <v>1.25</v>
      </c>
      <c r="B63" s="144">
        <v>0</v>
      </c>
      <c r="C63" s="144">
        <v>0</v>
      </c>
      <c r="D63" s="144">
        <v>0</v>
      </c>
      <c r="E63" s="144">
        <v>0</v>
      </c>
      <c r="F63" s="144">
        <v>0</v>
      </c>
      <c r="G63" s="144">
        <v>0</v>
      </c>
      <c r="H63" s="144">
        <v>0</v>
      </c>
      <c r="I63" s="144">
        <v>0</v>
      </c>
      <c r="J63" s="144">
        <v>0</v>
      </c>
      <c r="K63" s="144">
        <v>0</v>
      </c>
      <c r="L63" s="144">
        <v>0</v>
      </c>
      <c r="M63" s="144">
        <v>0</v>
      </c>
      <c r="N63" s="144" t="s">
        <v>503</v>
      </c>
      <c r="O63" s="144">
        <v>0</v>
      </c>
      <c r="P63" s="144">
        <v>0</v>
      </c>
      <c r="Q63" s="144">
        <v>0</v>
      </c>
      <c r="R63" s="144">
        <v>0</v>
      </c>
      <c r="S63" s="144">
        <v>0</v>
      </c>
      <c r="T63" s="144">
        <v>0</v>
      </c>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1:52" ht="18">
      <c r="A64" s="122">
        <v>1.5</v>
      </c>
      <c r="B64" s="144">
        <v>0</v>
      </c>
      <c r="C64" s="144">
        <v>0</v>
      </c>
      <c r="D64" s="144">
        <v>0</v>
      </c>
      <c r="E64" s="144">
        <v>0</v>
      </c>
      <c r="F64" s="144">
        <v>0</v>
      </c>
      <c r="G64" s="144">
        <v>0</v>
      </c>
      <c r="H64" s="144">
        <v>0</v>
      </c>
      <c r="I64" s="144">
        <v>0</v>
      </c>
      <c r="J64" s="144">
        <v>0</v>
      </c>
      <c r="K64" s="144">
        <v>0</v>
      </c>
      <c r="L64" s="144">
        <v>0</v>
      </c>
      <c r="M64" s="144">
        <v>0</v>
      </c>
      <c r="N64" s="144">
        <v>0</v>
      </c>
      <c r="O64" s="144" t="s">
        <v>503</v>
      </c>
      <c r="P64" s="144"/>
      <c r="Q64" s="144">
        <v>0</v>
      </c>
      <c r="R64" s="144">
        <v>0</v>
      </c>
      <c r="S64" s="144">
        <v>0</v>
      </c>
      <c r="T64" s="144">
        <v>0</v>
      </c>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1:51" ht="15" customHeight="1" thickBot="1">
      <c r="A65" s="3"/>
      <c r="B65" s="3"/>
      <c r="C65" s="3"/>
      <c r="D65" s="3"/>
      <c r="E65" s="3"/>
      <c r="F65" s="3"/>
      <c r="G65" s="3"/>
      <c r="H65" s="3"/>
      <c r="I65" s="3"/>
      <c r="J65" s="3"/>
      <c r="K65" s="3"/>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80"/>
      <c r="AN65" s="80"/>
      <c r="AO65" s="80"/>
      <c r="AP65" s="80"/>
      <c r="AQ65" s="80"/>
      <c r="AR65" s="80"/>
      <c r="AS65" s="80"/>
      <c r="AT65" s="80"/>
      <c r="AU65" s="80"/>
      <c r="AV65" s="80"/>
      <c r="AW65" s="80"/>
      <c r="AX65" s="80"/>
      <c r="AY65" s="80"/>
    </row>
    <row r="66" spans="1:51" ht="24" thickBot="1">
      <c r="A66" s="186" t="s">
        <v>45</v>
      </c>
      <c r="B66" s="143"/>
      <c r="C66" s="143"/>
      <c r="D66" s="3"/>
      <c r="E66" s="186" t="s">
        <v>621</v>
      </c>
      <c r="F66" s="3"/>
      <c r="G66" s="3"/>
      <c r="H66" s="3"/>
      <c r="I66" s="3"/>
      <c r="J66" s="3"/>
      <c r="K66" s="3"/>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80"/>
      <c r="AN66" s="80"/>
      <c r="AO66" s="80"/>
      <c r="AP66" s="80"/>
      <c r="AQ66" s="80"/>
      <c r="AR66" s="80"/>
      <c r="AS66" s="80"/>
      <c r="AT66" s="80"/>
      <c r="AU66" s="80"/>
      <c r="AV66" s="80"/>
      <c r="AW66" s="80"/>
      <c r="AX66" s="80"/>
      <c r="AY66" s="80"/>
    </row>
    <row r="67" spans="1:51" ht="18">
      <c r="A67" s="274" t="s">
        <v>354</v>
      </c>
      <c r="B67" s="275"/>
      <c r="C67" s="275"/>
      <c r="D67" s="3"/>
      <c r="E67" s="262">
        <v>2</v>
      </c>
      <c r="F67" s="3"/>
      <c r="G67" s="3"/>
      <c r="H67" s="3"/>
      <c r="I67" s="3"/>
      <c r="J67" s="3"/>
      <c r="K67" s="3"/>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80"/>
      <c r="AN67" s="80"/>
      <c r="AO67" s="80"/>
      <c r="AP67" s="80"/>
      <c r="AQ67" s="80"/>
      <c r="AR67" s="80"/>
      <c r="AS67" s="80"/>
      <c r="AT67" s="80"/>
      <c r="AU67" s="80"/>
      <c r="AV67" s="80"/>
      <c r="AW67" s="80"/>
      <c r="AX67" s="80"/>
      <c r="AY67" s="80"/>
    </row>
    <row r="68" spans="1:51" ht="18">
      <c r="A68" s="276" t="s">
        <v>46</v>
      </c>
      <c r="B68" s="276"/>
      <c r="C68" s="276"/>
      <c r="D68" s="3"/>
      <c r="F68" s="3"/>
      <c r="G68" s="3"/>
      <c r="H68" s="3"/>
      <c r="I68" s="3"/>
      <c r="J68" s="3"/>
      <c r="K68" s="3"/>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80"/>
      <c r="AN68" s="80"/>
      <c r="AO68" s="80"/>
      <c r="AP68" s="80"/>
      <c r="AQ68" s="80"/>
      <c r="AR68" s="80"/>
      <c r="AS68" s="80"/>
      <c r="AT68" s="80"/>
      <c r="AU68" s="80"/>
      <c r="AV68" s="80"/>
      <c r="AW68" s="80"/>
      <c r="AX68" s="80"/>
      <c r="AY68" s="80"/>
    </row>
    <row r="69" spans="1:51" ht="18">
      <c r="A69" s="277" t="s">
        <v>377</v>
      </c>
      <c r="B69" s="277"/>
      <c r="C69" s="277"/>
      <c r="D69" s="3"/>
      <c r="E69" s="3"/>
      <c r="F69" s="3"/>
      <c r="G69" s="3"/>
      <c r="H69" s="3"/>
      <c r="I69" s="3"/>
      <c r="J69" s="3"/>
      <c r="K69" s="3"/>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80"/>
      <c r="AN69" s="80"/>
      <c r="AO69" s="80"/>
      <c r="AP69" s="80"/>
      <c r="AQ69" s="80"/>
      <c r="AR69" s="80"/>
      <c r="AS69" s="80"/>
      <c r="AT69" s="80"/>
      <c r="AU69" s="80"/>
      <c r="AV69" s="80"/>
      <c r="AW69" s="80"/>
      <c r="AX69" s="80"/>
      <c r="AY69" s="80"/>
    </row>
    <row r="70" spans="1:51" ht="15">
      <c r="A70" s="3"/>
      <c r="B70" s="3"/>
      <c r="C70" s="3"/>
      <c r="D70" s="3"/>
      <c r="E70" s="3"/>
      <c r="F70" s="3"/>
      <c r="G70" s="3"/>
      <c r="H70" s="3"/>
      <c r="I70" s="3"/>
      <c r="J70" s="3"/>
      <c r="K70" s="3"/>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80"/>
      <c r="AN70" s="80"/>
      <c r="AO70" s="80"/>
      <c r="AP70" s="80"/>
      <c r="AQ70" s="80"/>
      <c r="AR70" s="80"/>
      <c r="AS70" s="80"/>
      <c r="AT70" s="80"/>
      <c r="AU70" s="80"/>
      <c r="AV70" s="80"/>
      <c r="AW70" s="80"/>
      <c r="AX70" s="80"/>
      <c r="AY70" s="80"/>
    </row>
    <row r="71" spans="1:51" ht="15.75">
      <c r="A71" s="273"/>
      <c r="B71" s="273"/>
      <c r="C71" s="273"/>
      <c r="D71" s="273"/>
      <c r="E71" s="273"/>
      <c r="F71" s="273"/>
      <c r="G71" s="10"/>
      <c r="H71" s="10"/>
      <c r="I71" s="10"/>
      <c r="J71" s="10"/>
      <c r="K71" s="10"/>
      <c r="L71" s="11"/>
      <c r="M71" s="11"/>
      <c r="N71" s="11"/>
      <c r="O71" s="11"/>
      <c r="P71" s="11"/>
      <c r="Q71" s="11"/>
      <c r="R71" s="11"/>
      <c r="S71" s="11"/>
      <c r="T71" s="11"/>
      <c r="U71" s="11"/>
      <c r="V71" s="6"/>
      <c r="W71" s="6"/>
      <c r="X71" s="6"/>
      <c r="Y71" s="6"/>
      <c r="Z71" s="6"/>
      <c r="AA71" s="6"/>
      <c r="AB71" s="6"/>
      <c r="AC71" s="6"/>
      <c r="AD71" s="6"/>
      <c r="AE71" s="6"/>
      <c r="AF71" s="6"/>
      <c r="AG71" s="6"/>
      <c r="AH71" s="6"/>
      <c r="AI71" s="6"/>
      <c r="AJ71" s="6"/>
      <c r="AK71" s="6"/>
      <c r="AL71" s="6"/>
      <c r="AM71" s="80"/>
      <c r="AN71" s="80"/>
      <c r="AO71" s="80"/>
      <c r="AP71" s="80"/>
      <c r="AQ71" s="80"/>
      <c r="AR71" s="80"/>
      <c r="AS71" s="80"/>
      <c r="AT71" s="80"/>
      <c r="AU71" s="80"/>
      <c r="AV71" s="80"/>
      <c r="AW71" s="80"/>
      <c r="AX71" s="80"/>
      <c r="AY71" s="80"/>
    </row>
    <row r="72" spans="1:51" ht="45.75" customHeight="1">
      <c r="A72" s="134" t="s">
        <v>6</v>
      </c>
      <c r="B72" s="134" t="s">
        <v>624</v>
      </c>
      <c r="C72" s="134" t="s">
        <v>625</v>
      </c>
      <c r="D72" s="134" t="s">
        <v>636</v>
      </c>
      <c r="E72" s="134" t="s">
        <v>637</v>
      </c>
      <c r="F72" s="134" t="s">
        <v>638</v>
      </c>
      <c r="G72" s="134" t="s">
        <v>639</v>
      </c>
      <c r="H72" s="134" t="s">
        <v>640</v>
      </c>
      <c r="I72" s="134"/>
      <c r="J72" s="134"/>
      <c r="K72" s="134"/>
      <c r="L72" s="134"/>
      <c r="M72" s="134"/>
      <c r="N72" s="134"/>
      <c r="O72" s="134"/>
      <c r="P72" s="134"/>
      <c r="Q72" s="134"/>
      <c r="R72" s="134"/>
      <c r="S72" s="134"/>
      <c r="T72" s="134"/>
      <c r="U72" s="134"/>
      <c r="V72" s="134"/>
      <c r="W72" s="134"/>
      <c r="X72" s="134"/>
      <c r="Y72" s="134"/>
      <c r="Z72" s="134"/>
      <c r="AA72" s="134"/>
      <c r="AB72" s="134"/>
      <c r="AC72" s="134"/>
      <c r="AD72" s="134"/>
      <c r="AE72" s="134"/>
      <c r="AF72" s="134"/>
      <c r="AG72" s="134"/>
      <c r="AH72" s="134"/>
      <c r="AI72" s="134"/>
      <c r="AJ72" s="134"/>
      <c r="AK72" s="134"/>
      <c r="AL72" s="134"/>
      <c r="AM72" s="134"/>
      <c r="AN72" s="134"/>
      <c r="AO72" s="134"/>
      <c r="AP72" s="134"/>
      <c r="AQ72" s="134"/>
      <c r="AR72" s="134"/>
      <c r="AS72" s="134"/>
      <c r="AT72" s="134"/>
      <c r="AU72" s="134"/>
      <c r="AV72" s="134"/>
      <c r="AW72" s="134"/>
      <c r="AX72" s="134"/>
      <c r="AY72" s="134"/>
    </row>
    <row r="73" spans="1:51" ht="15">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90"/>
    </row>
    <row r="74" spans="1:51" ht="15">
      <c r="A74" s="185" t="s">
        <v>7</v>
      </c>
      <c r="B74" s="90">
        <v>4</v>
      </c>
      <c r="C74" s="90">
        <v>10</v>
      </c>
      <c r="D74" s="90">
        <v>11</v>
      </c>
      <c r="E74" s="90">
        <v>30</v>
      </c>
      <c r="F74" s="90">
        <v>9</v>
      </c>
      <c r="G74" s="90">
        <v>39</v>
      </c>
      <c r="H74" s="90">
        <v>2</v>
      </c>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row>
    <row r="75" spans="1:51" ht="15">
      <c r="A75" s="185" t="s">
        <v>8</v>
      </c>
      <c r="B75" s="90">
        <v>7</v>
      </c>
      <c r="C75" s="90"/>
      <c r="D75" s="185" t="s">
        <v>69</v>
      </c>
      <c r="E75" s="90">
        <v>17</v>
      </c>
      <c r="F75" s="90"/>
      <c r="G75" s="90"/>
      <c r="H75" s="90"/>
      <c r="I75" s="90"/>
      <c r="J75" s="90"/>
      <c r="K75" s="90"/>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1:51" ht="15">
      <c r="A76" s="90"/>
      <c r="B76" s="90" t="str">
        <f>IF(FIND("$",ADDRESS(ROW(),COLUMN()),2)=3,MID(ADDRESS(ROW(),COLUMN()),2,1),MID(ADDRESS(ROW(),COLUMN()),2,2))</f>
        <v>B</v>
      </c>
      <c r="C76" s="90" t="str">
        <f t="shared" ref="C76:AY76" si="2">IF(FIND("$",ADDRESS(ROW(),COLUMN()),2)=3,MID(ADDRESS(ROW(),COLUMN()),2,1),MID(ADDRESS(ROW(),COLUMN()),2,2))</f>
        <v>C</v>
      </c>
      <c r="D76" s="90" t="str">
        <f t="shared" si="2"/>
        <v>D</v>
      </c>
      <c r="E76" s="90" t="str">
        <f t="shared" si="2"/>
        <v>E</v>
      </c>
      <c r="F76" s="90" t="str">
        <f t="shared" si="2"/>
        <v>F</v>
      </c>
      <c r="G76" s="90" t="str">
        <f t="shared" si="2"/>
        <v>G</v>
      </c>
      <c r="H76" s="90" t="str">
        <f t="shared" si="2"/>
        <v>H</v>
      </c>
      <c r="I76" s="90" t="str">
        <f t="shared" si="2"/>
        <v>I</v>
      </c>
      <c r="J76" s="90" t="str">
        <f t="shared" si="2"/>
        <v>J</v>
      </c>
      <c r="K76" s="90" t="str">
        <f t="shared" si="2"/>
        <v>K</v>
      </c>
      <c r="L76" s="90" t="str">
        <f t="shared" si="2"/>
        <v>L</v>
      </c>
      <c r="M76" s="90" t="str">
        <f t="shared" si="2"/>
        <v>M</v>
      </c>
      <c r="N76" s="90" t="str">
        <f t="shared" si="2"/>
        <v>N</v>
      </c>
      <c r="O76" s="90" t="str">
        <f t="shared" si="2"/>
        <v>O</v>
      </c>
      <c r="P76" s="90" t="str">
        <f t="shared" si="2"/>
        <v>P</v>
      </c>
      <c r="Q76" s="90" t="str">
        <f t="shared" si="2"/>
        <v>Q</v>
      </c>
      <c r="R76" s="90" t="str">
        <f t="shared" si="2"/>
        <v>R</v>
      </c>
      <c r="S76" s="90" t="str">
        <f t="shared" si="2"/>
        <v>S</v>
      </c>
      <c r="T76" s="90" t="str">
        <f t="shared" si="2"/>
        <v>T</v>
      </c>
      <c r="U76" s="90" t="str">
        <f t="shared" si="2"/>
        <v>U</v>
      </c>
      <c r="V76" s="90" t="str">
        <f t="shared" si="2"/>
        <v>V</v>
      </c>
      <c r="W76" s="90" t="str">
        <f t="shared" si="2"/>
        <v>W</v>
      </c>
      <c r="X76" s="90" t="str">
        <f t="shared" si="2"/>
        <v>X</v>
      </c>
      <c r="Y76" s="90" t="str">
        <f t="shared" si="2"/>
        <v>Y</v>
      </c>
      <c r="Z76" s="90" t="str">
        <f t="shared" si="2"/>
        <v>Z</v>
      </c>
      <c r="AA76" s="90" t="str">
        <f t="shared" si="2"/>
        <v>AA</v>
      </c>
      <c r="AB76" s="90" t="str">
        <f t="shared" si="2"/>
        <v>AB</v>
      </c>
      <c r="AC76" s="90" t="str">
        <f t="shared" si="2"/>
        <v>AC</v>
      </c>
      <c r="AD76" s="90" t="str">
        <f t="shared" si="2"/>
        <v>AD</v>
      </c>
      <c r="AE76" s="90" t="str">
        <f t="shared" si="2"/>
        <v>AE</v>
      </c>
      <c r="AF76" s="90" t="str">
        <f t="shared" si="2"/>
        <v>AF</v>
      </c>
      <c r="AG76" s="90" t="str">
        <f t="shared" si="2"/>
        <v>AG</v>
      </c>
      <c r="AH76" s="90" t="str">
        <f t="shared" si="2"/>
        <v>AH</v>
      </c>
      <c r="AI76" s="90" t="str">
        <f t="shared" si="2"/>
        <v>AI</v>
      </c>
      <c r="AJ76" s="90" t="str">
        <f t="shared" si="2"/>
        <v>AJ</v>
      </c>
      <c r="AK76" s="90" t="str">
        <f t="shared" si="2"/>
        <v>AK</v>
      </c>
      <c r="AL76" s="90" t="str">
        <f t="shared" si="2"/>
        <v>AL</v>
      </c>
      <c r="AM76" s="90" t="str">
        <f t="shared" si="2"/>
        <v>AM</v>
      </c>
      <c r="AN76" s="90" t="str">
        <f t="shared" si="2"/>
        <v>AN</v>
      </c>
      <c r="AO76" s="90" t="str">
        <f t="shared" si="2"/>
        <v>AO</v>
      </c>
      <c r="AP76" s="90" t="str">
        <f t="shared" si="2"/>
        <v>AP</v>
      </c>
      <c r="AQ76" s="90" t="str">
        <f t="shared" si="2"/>
        <v>AQ</v>
      </c>
      <c r="AR76" s="90" t="str">
        <f t="shared" si="2"/>
        <v>AR</v>
      </c>
      <c r="AS76" s="90" t="str">
        <f t="shared" si="2"/>
        <v>AS</v>
      </c>
      <c r="AT76" s="90" t="str">
        <f t="shared" si="2"/>
        <v>AT</v>
      </c>
      <c r="AU76" s="90" t="str">
        <f t="shared" si="2"/>
        <v>AU</v>
      </c>
      <c r="AV76" s="90" t="str">
        <f t="shared" si="2"/>
        <v>AV</v>
      </c>
      <c r="AW76" s="90" t="str">
        <f t="shared" si="2"/>
        <v>AW</v>
      </c>
      <c r="AX76" s="90" t="str">
        <f t="shared" si="2"/>
        <v>AX</v>
      </c>
      <c r="AY76" s="90" t="str">
        <f t="shared" si="2"/>
        <v>AY</v>
      </c>
    </row>
    <row r="77" spans="1:51" ht="1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81" spans="1:14">
      <c r="A81" t="s">
        <v>10</v>
      </c>
      <c r="B81" t="s">
        <v>11</v>
      </c>
      <c r="C81" t="s">
        <v>12</v>
      </c>
      <c r="D81" t="s">
        <v>13</v>
      </c>
      <c r="E81" t="s">
        <v>14</v>
      </c>
      <c r="F81" t="s">
        <v>15</v>
      </c>
      <c r="G81" t="s">
        <v>16</v>
      </c>
      <c r="H81" t="s">
        <v>17</v>
      </c>
      <c r="I81" t="s">
        <v>18</v>
      </c>
      <c r="J81" t="s">
        <v>19</v>
      </c>
      <c r="K81" t="s">
        <v>20</v>
      </c>
      <c r="L81" t="s">
        <v>21</v>
      </c>
      <c r="M81" t="s">
        <v>22</v>
      </c>
      <c r="N81" t="s">
        <v>23</v>
      </c>
    </row>
    <row r="82" spans="1:14">
      <c r="A82" t="s">
        <v>56</v>
      </c>
      <c r="B82" t="s">
        <v>48</v>
      </c>
      <c r="C82" t="s">
        <v>49</v>
      </c>
      <c r="D82" t="s">
        <v>50</v>
      </c>
      <c r="E82" t="s">
        <v>51</v>
      </c>
      <c r="F82" t="s">
        <v>52</v>
      </c>
      <c r="G82" t="s">
        <v>53</v>
      </c>
      <c r="H82" t="s">
        <v>54</v>
      </c>
      <c r="I82" t="s">
        <v>55</v>
      </c>
    </row>
    <row r="83" spans="1:14">
      <c r="A83" t="s">
        <v>57</v>
      </c>
      <c r="B83" t="s">
        <v>58</v>
      </c>
      <c r="C83" t="s">
        <v>59</v>
      </c>
      <c r="D83" t="s">
        <v>60</v>
      </c>
      <c r="E83" t="s">
        <v>61</v>
      </c>
    </row>
    <row r="87" spans="1:14">
      <c r="B87" t="s">
        <v>388</v>
      </c>
    </row>
  </sheetData>
  <mergeCells count="7">
    <mergeCell ref="S40:T40"/>
    <mergeCell ref="G2:I2"/>
    <mergeCell ref="A71:F71"/>
    <mergeCell ref="A67:C67"/>
    <mergeCell ref="A68:C68"/>
    <mergeCell ref="A69:C69"/>
    <mergeCell ref="L45:L47"/>
  </mergeCells>
  <phoneticPr fontId="2" type="noConversion"/>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t_X_Y">
                <anchor moveWithCells="1" sizeWithCells="1">
                  <from>
                    <xdr:col>10</xdr:col>
                    <xdr:colOff>142875</xdr:colOff>
                    <xdr:row>38</xdr:row>
                    <xdr:rowOff>123825</xdr:rowOff>
                  </from>
                  <to>
                    <xdr:col>11</xdr:col>
                    <xdr:colOff>352425</xdr:colOff>
                    <xdr:row>41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Open_Files">
                <anchor moveWithCells="1" sizeWithCells="1">
                  <from>
                    <xdr:col>1</xdr:col>
                    <xdr:colOff>466725</xdr:colOff>
                    <xdr:row>0</xdr:row>
                    <xdr:rowOff>85725</xdr:rowOff>
                  </from>
                  <to>
                    <xdr:col>2</xdr:col>
                    <xdr:colOff>790575</xdr:colOff>
                    <xdr:row>1</xdr:row>
                    <xdr:rowOff>390525</xdr:rowOff>
                  </to>
                </anchor>
              </controlPr>
            </control>
          </mc:Choice>
        </mc:AlternateContent>
        <mc:AlternateContent xmlns:mc="http://schemas.openxmlformats.org/markup-compatibility/2006">
          <mc:Choice Requires="x14">
            <control shapeId="1027" r:id="rId6" name="Button 3">
              <controlPr defaultSize="0" print="0" autoFill="0" autoPict="0" macro="[0]!Equation_Evaluation">
                <anchor moveWithCells="1" sizeWithCells="1">
                  <from>
                    <xdr:col>13</xdr:col>
                    <xdr:colOff>85725</xdr:colOff>
                    <xdr:row>38</xdr:row>
                    <xdr:rowOff>66675</xdr:rowOff>
                  </from>
                  <to>
                    <xdr:col>14</xdr:col>
                    <xdr:colOff>295275</xdr:colOff>
                    <xdr:row>41</xdr:row>
                    <xdr:rowOff>9525</xdr:rowOff>
                  </to>
                </anchor>
              </controlPr>
            </control>
          </mc:Choice>
        </mc:AlternateContent>
        <mc:AlternateContent xmlns:mc="http://schemas.openxmlformats.org/markup-compatibility/2006">
          <mc:Choice Requires="x14">
            <control shapeId="1058" r:id="rId7" name="Button 34">
              <controlPr defaultSize="0" print="0" autoFill="0" autoPict="0" macro="[0]!Save_Equations">
                <anchor moveWithCells="1" sizeWithCells="1">
                  <from>
                    <xdr:col>14</xdr:col>
                    <xdr:colOff>523875</xdr:colOff>
                    <xdr:row>38</xdr:row>
                    <xdr:rowOff>66675</xdr:rowOff>
                  </from>
                  <to>
                    <xdr:col>15</xdr:col>
                    <xdr:colOff>723900</xdr:colOff>
                    <xdr:row>41</xdr:row>
                    <xdr:rowOff>9525</xdr:rowOff>
                  </to>
                </anchor>
              </controlPr>
            </control>
          </mc:Choice>
        </mc:AlternateContent>
        <mc:AlternateContent xmlns:mc="http://schemas.openxmlformats.org/markup-compatibility/2006">
          <mc:Choice Requires="x14">
            <control shapeId="1059" r:id="rId8" name="Button 35">
              <controlPr defaultSize="0" print="0" autoFill="0" autoPict="0" macro="[0]!Restore_Equations">
                <anchor moveWithCells="1" sizeWithCells="1">
                  <from>
                    <xdr:col>15</xdr:col>
                    <xdr:colOff>952500</xdr:colOff>
                    <xdr:row>38</xdr:row>
                    <xdr:rowOff>66675</xdr:rowOff>
                  </from>
                  <to>
                    <xdr:col>16</xdr:col>
                    <xdr:colOff>1104900</xdr:colOff>
                    <xdr:row>41</xdr:row>
                    <xdr:rowOff>9525</xdr:rowOff>
                  </to>
                </anchor>
              </controlPr>
            </control>
          </mc:Choice>
        </mc:AlternateContent>
        <mc:AlternateContent xmlns:mc="http://schemas.openxmlformats.org/markup-compatibility/2006">
          <mc:Choice Requires="x14">
            <control shapeId="1091" r:id="rId9" name="Button 67">
              <controlPr defaultSize="0" print="0" autoFill="0" autoPict="0" macro="[0]!Select_Data">
                <anchor moveWithCells="1" sizeWithCells="1">
                  <from>
                    <xdr:col>12</xdr:col>
                    <xdr:colOff>142875</xdr:colOff>
                    <xdr:row>42</xdr:row>
                    <xdr:rowOff>28575</xdr:rowOff>
                  </from>
                  <to>
                    <xdr:col>13</xdr:col>
                    <xdr:colOff>352425</xdr:colOff>
                    <xdr:row>46</xdr:row>
                    <xdr:rowOff>104775</xdr:rowOff>
                  </to>
                </anchor>
              </controlPr>
            </control>
          </mc:Choice>
        </mc:AlternateContent>
        <mc:AlternateContent xmlns:mc="http://schemas.openxmlformats.org/markup-compatibility/2006">
          <mc:Choice Requires="x14">
            <control shapeId="1093" r:id="rId10" name="Button 69">
              <controlPr defaultSize="0" print="0" autoFill="0" autoPict="0" macro="[0]!Restore_Data">
                <anchor moveWithCells="1" sizeWithCells="1">
                  <from>
                    <xdr:col>13</xdr:col>
                    <xdr:colOff>609600</xdr:colOff>
                    <xdr:row>42</xdr:row>
                    <xdr:rowOff>38100</xdr:rowOff>
                  </from>
                  <to>
                    <xdr:col>14</xdr:col>
                    <xdr:colOff>828675</xdr:colOff>
                    <xdr:row>46</xdr:row>
                    <xdr:rowOff>104775</xdr:rowOff>
                  </to>
                </anchor>
              </controlPr>
            </control>
          </mc:Choice>
        </mc:AlternateContent>
        <mc:AlternateContent xmlns:mc="http://schemas.openxmlformats.org/markup-compatibility/2006">
          <mc:Choice Requires="x14">
            <control shapeId="1099" r:id="rId11" name="Button 75">
              <controlPr defaultSize="0" print="0" autoFill="0" autoPict="0" macro="[0]!Combine_Data">
                <anchor moveWithCells="1" sizeWithCells="1">
                  <from>
                    <xdr:col>4</xdr:col>
                    <xdr:colOff>581025</xdr:colOff>
                    <xdr:row>51</xdr:row>
                    <xdr:rowOff>142875</xdr:rowOff>
                  </from>
                  <to>
                    <xdr:col>6</xdr:col>
                    <xdr:colOff>9525</xdr:colOff>
                    <xdr:row>53</xdr:row>
                    <xdr:rowOff>409575</xdr:rowOff>
                  </to>
                </anchor>
              </controlPr>
            </control>
          </mc:Choice>
        </mc:AlternateContent>
        <mc:AlternateContent xmlns:mc="http://schemas.openxmlformats.org/markup-compatibility/2006">
          <mc:Choice Requires="x14">
            <control shapeId="1101" r:id="rId12" name="Button 77">
              <controlPr defaultSize="0" print="0" autoFill="0" autoPict="0" macro="[0]!Save_Set_CSV">
                <anchor moveWithCells="1" sizeWithCells="1">
                  <from>
                    <xdr:col>21</xdr:col>
                    <xdr:colOff>0</xdr:colOff>
                    <xdr:row>47</xdr:row>
                    <xdr:rowOff>0</xdr:rowOff>
                  </from>
                  <to>
                    <xdr:col>21</xdr:col>
                    <xdr:colOff>1057275</xdr:colOff>
                    <xdr:row>51</xdr:row>
                    <xdr:rowOff>9525</xdr:rowOff>
                  </to>
                </anchor>
              </controlPr>
            </control>
          </mc:Choice>
        </mc:AlternateContent>
        <mc:AlternateContent xmlns:mc="http://schemas.openxmlformats.org/markup-compatibility/2006">
          <mc:Choice Requires="x14">
            <control shapeId="1115" r:id="rId13" name="Button 91">
              <controlPr defaultSize="0" print="0" autoFill="0" autoPict="0" macro="[0]!Remove_Units">
                <anchor moveWithCells="1" sizeWithCells="1">
                  <from>
                    <xdr:col>22</xdr:col>
                    <xdr:colOff>904875</xdr:colOff>
                    <xdr:row>39</xdr:row>
                    <xdr:rowOff>485775</xdr:rowOff>
                  </from>
                  <to>
                    <xdr:col>23</xdr:col>
                    <xdr:colOff>914400</xdr:colOff>
                    <xdr:row>43</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41"/>
  </sheetPr>
  <dimension ref="A1:CZ109"/>
  <sheetViews>
    <sheetView zoomScale="65" workbookViewId="0">
      <pane xSplit="1" topLeftCell="B1" activePane="topRight" state="frozen"/>
      <selection pane="topRight" activeCell="B10" sqref="B10"/>
    </sheetView>
  </sheetViews>
  <sheetFormatPr defaultColWidth="8.85546875" defaultRowHeight="12.75"/>
  <cols>
    <col min="1" max="1" width="31.140625" bestFit="1" customWidth="1"/>
    <col min="2" max="21" width="20.7109375" customWidth="1"/>
    <col min="22" max="51" width="20.7109375" style="80" customWidth="1"/>
    <col min="52" max="104" width="20.7109375" customWidth="1"/>
  </cols>
  <sheetData>
    <row r="1" spans="1:104" ht="23.25" customHeight="1" thickBot="1">
      <c r="A1" s="186" t="s">
        <v>45</v>
      </c>
      <c r="B1" s="143"/>
      <c r="C1" s="143"/>
      <c r="D1" s="20"/>
      <c r="E1" s="20"/>
      <c r="F1" s="20"/>
      <c r="G1" s="20"/>
      <c r="H1" s="20"/>
      <c r="I1" s="20"/>
      <c r="J1" s="20"/>
      <c r="K1" s="20"/>
      <c r="L1" s="19"/>
      <c r="M1" s="19"/>
      <c r="N1" s="19"/>
      <c r="O1" s="19"/>
      <c r="P1" s="19"/>
      <c r="Q1" s="19"/>
      <c r="R1" s="19"/>
      <c r="S1" s="19"/>
      <c r="T1" s="19"/>
      <c r="U1" s="19"/>
      <c r="V1" s="6"/>
      <c r="W1" s="6"/>
      <c r="X1" s="6"/>
      <c r="Y1" s="6"/>
      <c r="Z1" s="6"/>
      <c r="AA1" s="6"/>
      <c r="AB1" s="6"/>
      <c r="AC1" s="6"/>
      <c r="AD1" s="6"/>
      <c r="AE1" s="6"/>
      <c r="AF1" s="6"/>
      <c r="AG1" s="6"/>
      <c r="AH1" s="6"/>
      <c r="AI1" s="6"/>
      <c r="AJ1" s="6"/>
      <c r="AK1" s="6"/>
      <c r="AL1" s="6"/>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row>
    <row r="2" spans="1:104" ht="18">
      <c r="A2" s="282" t="s">
        <v>354</v>
      </c>
      <c r="B2" s="283"/>
      <c r="C2" s="283"/>
      <c r="D2" s="267"/>
      <c r="E2" s="267"/>
      <c r="F2" s="267"/>
      <c r="G2" s="267"/>
      <c r="H2" s="267"/>
      <c r="I2" s="267"/>
      <c r="J2" s="267"/>
      <c r="K2" s="267"/>
      <c r="L2" s="267"/>
      <c r="M2" s="267"/>
      <c r="N2" s="267"/>
      <c r="O2" s="267"/>
      <c r="P2" s="267"/>
      <c r="Q2" s="267"/>
      <c r="R2" s="267"/>
      <c r="S2" s="267"/>
      <c r="T2" s="267"/>
      <c r="U2" s="267"/>
      <c r="V2" s="267"/>
      <c r="W2" s="267"/>
      <c r="X2" s="267"/>
      <c r="Y2" s="267"/>
      <c r="Z2" s="267"/>
      <c r="AA2" s="267"/>
      <c r="AB2" s="267"/>
      <c r="AC2" s="267"/>
      <c r="AD2" s="267"/>
      <c r="AE2" s="267"/>
      <c r="AF2" s="267"/>
      <c r="AG2" s="267"/>
      <c r="AH2" s="267"/>
      <c r="AI2" s="267"/>
      <c r="AJ2" s="267"/>
      <c r="AK2" s="267"/>
      <c r="AL2" s="267"/>
      <c r="AM2" s="267"/>
      <c r="AN2" s="267"/>
      <c r="AO2" s="267"/>
      <c r="AP2" s="267"/>
      <c r="AQ2" s="267"/>
      <c r="AR2" s="267"/>
      <c r="AS2" s="267"/>
      <c r="AT2" s="267"/>
      <c r="AU2" s="267"/>
      <c r="AV2" s="267"/>
      <c r="AW2" s="267"/>
      <c r="AX2" s="267"/>
      <c r="AY2" s="267"/>
      <c r="AZ2" s="267"/>
      <c r="BA2" s="267"/>
      <c r="BB2" s="267"/>
      <c r="BC2" s="267"/>
      <c r="BD2" s="267"/>
      <c r="BE2" s="267"/>
      <c r="BF2" s="267"/>
      <c r="BG2" s="267"/>
      <c r="BH2" s="267"/>
      <c r="BI2" s="267"/>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row>
    <row r="3" spans="1:104" ht="18">
      <c r="A3" s="284" t="s">
        <v>46</v>
      </c>
      <c r="B3" s="284"/>
      <c r="C3" s="284"/>
      <c r="D3" s="267"/>
      <c r="E3" s="267"/>
      <c r="F3" s="267"/>
      <c r="G3" s="267"/>
      <c r="H3" s="267"/>
      <c r="I3" s="267"/>
      <c r="J3" s="267"/>
      <c r="K3" s="267"/>
      <c r="L3" s="267"/>
      <c r="M3" s="267"/>
      <c r="N3" s="267"/>
      <c r="O3" s="267"/>
      <c r="P3" s="267"/>
      <c r="Q3" s="267"/>
      <c r="R3" s="267"/>
      <c r="S3" s="267"/>
      <c r="T3" s="267"/>
      <c r="U3" s="267"/>
      <c r="V3" s="267"/>
      <c r="W3" s="267"/>
      <c r="X3" s="267"/>
      <c r="Y3" s="267"/>
      <c r="Z3" s="267"/>
      <c r="AA3" s="267"/>
      <c r="AB3" s="267"/>
      <c r="AC3" s="267"/>
      <c r="AD3" s="267"/>
      <c r="AE3" s="267"/>
      <c r="AF3" s="267"/>
      <c r="AG3" s="267"/>
      <c r="AH3" s="267"/>
      <c r="AI3" s="267"/>
      <c r="AJ3" s="267"/>
      <c r="AK3" s="267"/>
      <c r="AL3" s="267"/>
      <c r="AM3" s="267"/>
      <c r="AN3" s="267"/>
      <c r="AO3" s="267"/>
      <c r="AP3" s="267"/>
      <c r="AQ3" s="267"/>
      <c r="AR3" s="267"/>
      <c r="AS3" s="267"/>
      <c r="AT3" s="267"/>
      <c r="AU3" s="267"/>
      <c r="AV3" s="267"/>
      <c r="AW3" s="267"/>
      <c r="AX3" s="267"/>
      <c r="AY3" s="267"/>
      <c r="AZ3" s="267"/>
      <c r="BA3" s="267"/>
      <c r="BB3" s="267"/>
      <c r="BC3" s="267"/>
      <c r="BD3" s="267"/>
      <c r="BE3" s="267"/>
      <c r="BF3" s="267"/>
      <c r="BG3" s="267"/>
      <c r="BH3" s="267"/>
      <c r="BI3" s="267"/>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row>
    <row r="4" spans="1:104" ht="18">
      <c r="A4" s="281" t="s">
        <v>377</v>
      </c>
      <c r="B4" s="281"/>
      <c r="C4" s="281"/>
      <c r="D4" s="267"/>
      <c r="E4" s="267"/>
      <c r="F4" s="267"/>
      <c r="G4" s="267"/>
      <c r="H4" s="267"/>
      <c r="I4" s="267"/>
      <c r="J4" s="267"/>
      <c r="K4" s="267"/>
      <c r="L4" s="267"/>
      <c r="M4" s="267"/>
      <c r="N4" s="267"/>
      <c r="O4" s="267"/>
      <c r="P4" s="267"/>
      <c r="Q4" s="267"/>
      <c r="R4" s="267"/>
      <c r="S4" s="267"/>
      <c r="T4" s="267"/>
      <c r="U4" s="267"/>
      <c r="V4" s="267"/>
      <c r="W4" s="267"/>
      <c r="X4" s="267"/>
      <c r="Y4" s="267"/>
      <c r="Z4" s="267"/>
      <c r="AA4" s="267"/>
      <c r="AB4" s="267"/>
      <c r="AC4" s="267"/>
      <c r="AD4" s="267"/>
      <c r="AE4" s="267"/>
      <c r="AF4" s="267"/>
      <c r="AG4" s="267"/>
      <c r="AH4" s="267"/>
      <c r="AI4" s="267"/>
      <c r="AJ4" s="267"/>
      <c r="AK4" s="267"/>
      <c r="AL4" s="267"/>
      <c r="AM4" s="267"/>
      <c r="AN4" s="267"/>
      <c r="AO4" s="267"/>
      <c r="AP4" s="267"/>
      <c r="AQ4" s="267"/>
      <c r="AR4" s="267"/>
      <c r="AS4" s="267"/>
      <c r="AT4" s="267"/>
      <c r="AU4" s="267"/>
      <c r="AV4" s="267"/>
      <c r="AW4" s="267"/>
      <c r="AX4" s="267"/>
      <c r="AY4" s="267"/>
      <c r="AZ4" s="267"/>
      <c r="BA4" s="267"/>
      <c r="BB4" s="267"/>
      <c r="BC4" s="267"/>
      <c r="BD4" s="267"/>
      <c r="BE4" s="267"/>
      <c r="BF4" s="267"/>
      <c r="BG4" s="267"/>
      <c r="BH4" s="267"/>
      <c r="BI4" s="267"/>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row>
    <row r="5" spans="1:104" ht="20.100000000000001" customHeight="1" thickBot="1">
      <c r="A5" s="20"/>
      <c r="B5" s="20"/>
      <c r="C5" s="20"/>
      <c r="D5" s="20"/>
      <c r="E5" s="20"/>
      <c r="F5" s="20"/>
      <c r="G5" s="20"/>
      <c r="H5" s="20"/>
      <c r="I5" s="20"/>
      <c r="J5" s="20"/>
      <c r="K5" s="20"/>
      <c r="L5" s="19"/>
      <c r="M5" s="19"/>
      <c r="N5" s="19"/>
      <c r="O5" s="19"/>
      <c r="P5" s="19"/>
      <c r="Q5" s="19"/>
      <c r="R5" s="19"/>
      <c r="S5" s="19"/>
      <c r="T5" s="19"/>
      <c r="U5" s="19"/>
      <c r="V5" s="6"/>
      <c r="W5" s="6"/>
      <c r="X5" s="6"/>
      <c r="Y5" s="6"/>
      <c r="Z5" s="6"/>
      <c r="AA5" s="6"/>
      <c r="AB5" s="6"/>
      <c r="AC5" s="6"/>
      <c r="AD5" s="6"/>
      <c r="AE5" s="6"/>
      <c r="AF5" s="6"/>
      <c r="AG5" s="6"/>
      <c r="AH5" s="6"/>
      <c r="AI5" s="6"/>
      <c r="AJ5" s="6"/>
      <c r="AK5" s="6"/>
      <c r="AL5" s="6"/>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row>
    <row r="6" spans="1:104" ht="18" customHeight="1">
      <c r="A6" s="120" t="s">
        <v>3</v>
      </c>
      <c r="B6" s="117">
        <v>1</v>
      </c>
      <c r="C6" s="90">
        <v>2</v>
      </c>
      <c r="D6" s="90">
        <v>3</v>
      </c>
      <c r="E6" s="90">
        <v>4</v>
      </c>
      <c r="F6" s="90">
        <v>5</v>
      </c>
      <c r="G6" s="90">
        <v>6</v>
      </c>
      <c r="H6" s="90">
        <v>7</v>
      </c>
      <c r="I6" s="90">
        <v>8</v>
      </c>
      <c r="J6" s="90">
        <v>9</v>
      </c>
      <c r="K6" s="90">
        <v>10</v>
      </c>
      <c r="L6" s="90">
        <v>11</v>
      </c>
      <c r="M6" s="90">
        <v>12</v>
      </c>
      <c r="N6" s="90">
        <v>13</v>
      </c>
      <c r="O6" s="90">
        <v>14</v>
      </c>
      <c r="P6" s="90">
        <v>15</v>
      </c>
      <c r="Q6" s="90">
        <v>16</v>
      </c>
      <c r="R6" s="90">
        <v>17</v>
      </c>
      <c r="S6" s="90">
        <v>18</v>
      </c>
      <c r="T6" s="90">
        <v>19</v>
      </c>
      <c r="U6" s="90">
        <v>20</v>
      </c>
      <c r="V6" s="90">
        <v>21</v>
      </c>
      <c r="W6" s="90">
        <v>22</v>
      </c>
      <c r="X6" s="90">
        <v>23</v>
      </c>
      <c r="Y6" s="90">
        <v>24</v>
      </c>
      <c r="Z6" s="90">
        <v>25</v>
      </c>
      <c r="AA6" s="90">
        <v>26</v>
      </c>
      <c r="AB6" s="90">
        <v>27</v>
      </c>
      <c r="AC6" s="90">
        <v>28</v>
      </c>
      <c r="AD6" s="90">
        <v>29</v>
      </c>
      <c r="AE6" s="90">
        <v>30</v>
      </c>
      <c r="AF6" s="90">
        <v>31</v>
      </c>
      <c r="AG6" s="90">
        <v>32</v>
      </c>
      <c r="AH6" s="90">
        <v>33</v>
      </c>
      <c r="AI6" s="90">
        <v>34</v>
      </c>
      <c r="AJ6" s="90">
        <v>35</v>
      </c>
      <c r="AK6" s="90">
        <v>36</v>
      </c>
      <c r="AL6" s="90">
        <v>37</v>
      </c>
      <c r="AM6" s="90">
        <v>38</v>
      </c>
      <c r="AN6" s="90">
        <v>39</v>
      </c>
      <c r="AO6" s="90">
        <v>40</v>
      </c>
      <c r="AP6" s="90">
        <v>41</v>
      </c>
      <c r="AQ6" s="90">
        <v>42</v>
      </c>
      <c r="AR6" s="90">
        <v>43</v>
      </c>
      <c r="AS6" s="90">
        <v>44</v>
      </c>
      <c r="AT6" s="90">
        <v>45</v>
      </c>
      <c r="AU6" s="90">
        <v>46</v>
      </c>
      <c r="AV6" s="90">
        <v>47</v>
      </c>
      <c r="AW6" s="90">
        <v>48</v>
      </c>
      <c r="AX6" s="90">
        <v>49</v>
      </c>
      <c r="AY6" s="90">
        <v>50</v>
      </c>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c r="CT6" s="23"/>
      <c r="CU6" s="23"/>
      <c r="CV6" s="23"/>
      <c r="CW6" s="23"/>
      <c r="CX6" s="23"/>
      <c r="CY6" s="23"/>
      <c r="CZ6" s="23"/>
    </row>
    <row r="7" spans="1:104" ht="30" customHeight="1" thickBot="1">
      <c r="A7" s="119" t="s">
        <v>9</v>
      </c>
      <c r="B7" s="118" t="str">
        <f>IF(Control!B4="","",IF(Control!B4=" ","", Control!B4))</f>
        <v>Combined</v>
      </c>
      <c r="C7" s="25" t="str">
        <f>IF(Control!C4="","",IF(Control!C4=" ","", Control!C4))</f>
        <v>Beta1_30</v>
      </c>
      <c r="D7" s="25" t="str">
        <f>IF(Control!D4="","",IF(Control!D4=" ","", Control!D4))</f>
        <v>Beta1_45</v>
      </c>
      <c r="E7" s="25" t="str">
        <f>IF(Control!E4="","",IF(Control!E4=" ","", Control!E4))</f>
        <v>Beta1_60</v>
      </c>
      <c r="F7" s="25" t="str">
        <f>IF(Control!F4="","",IF(Control!F4=" ","", Control!F4))</f>
        <v>Beta1_70</v>
      </c>
      <c r="G7" s="25" t="str">
        <f>IF(Control!G4="","",IF(Control!G4=" ","", Control!G4))</f>
        <v>Tmax_06</v>
      </c>
      <c r="H7" s="25" t="str">
        <f>IF(Control!H4="","",IF(Control!H4=" ","", Control!H4))</f>
        <v>Tmax_08</v>
      </c>
      <c r="I7" s="25" t="str">
        <f>IF(Control!I4="","",IF(Control!I4=" ","", Control!I4))</f>
        <v>Tmax_10</v>
      </c>
      <c r="J7" s="25" t="str">
        <f>IF(Control!J4="","",IF(Control!J4=" ","", Control!J4))</f>
        <v>Tmax_12</v>
      </c>
      <c r="K7" s="25" t="str">
        <f>IF(Control!K4="","",IF(Control!K4=" ","", Control!K4))</f>
        <v>Tmax_15</v>
      </c>
      <c r="L7" s="25" t="str">
        <f>IF(Control!L4="","",IF(Control!L4=" ","", Control!L4))</f>
        <v>Solidity_0.75</v>
      </c>
      <c r="M7" s="25" t="str">
        <f>IF(Control!M4="","",IF(Control!M4=" ","", Control!M4))</f>
        <v>Solidity_1.00</v>
      </c>
      <c r="N7" s="25" t="str">
        <f>IF(Control!N4="","",IF(Control!N4=" ","", Control!N4))</f>
        <v>Solidity_1.25</v>
      </c>
      <c r="O7" s="25" t="str">
        <f>IF(Control!O4="","",IF(Control!O4=" ","", Control!O4))</f>
        <v>Solidity_1.50</v>
      </c>
      <c r="P7" s="25" t="str">
        <f>IF(Control!P4="","",IF(Control!P4=" ","", Control!P4))</f>
        <v>Solidity_2.00</v>
      </c>
      <c r="Q7" s="25" t="str">
        <f>IF(Control!Q4="","",IF(Control!Q4=" ","", Control!Q4))</f>
        <v>Solidity_0.50</v>
      </c>
      <c r="R7" s="25" t="str">
        <f>IF(Control!R4="","",IF(Control!R4=" ","", Control!R4))</f>
        <v>Solidity_0</v>
      </c>
      <c r="S7" s="25" t="str">
        <f>IF(Control!S4="","",IF(Control!S4=" ","", Control!S4))</f>
        <v>Beta1_0</v>
      </c>
      <c r="T7" s="25" t="str">
        <f>IF(Control!T4="","",IF(Control!T4=" ","", Control!T4))</f>
        <v/>
      </c>
      <c r="U7" s="25" t="str">
        <f>IF(Control!U4="","",IF(Control!U4=" ","", Control!U4))</f>
        <v/>
      </c>
      <c r="V7" s="25" t="str">
        <f>IF(Control!V4="","",IF(Control!V4=" ","", Control!V4))</f>
        <v/>
      </c>
      <c r="W7" s="25" t="str">
        <f>IF(Control!W4="","",IF(Control!W4=" ","", Control!W4))</f>
        <v/>
      </c>
      <c r="X7" s="25" t="str">
        <f>IF(Control!X4="","",IF(Control!X4=" ","", Control!X4))</f>
        <v/>
      </c>
      <c r="Y7" s="25" t="str">
        <f>IF(Control!Y4="","",IF(Control!Y4=" ","", Control!Y4))</f>
        <v/>
      </c>
      <c r="Z7" s="25" t="str">
        <f>IF(Control!Z4="","",IF(Control!Z4=" ","", Control!Z4))</f>
        <v/>
      </c>
      <c r="AA7" s="25" t="str">
        <f>IF(Control!AA4="","",IF(Control!AA4=" ","", Control!AA4))</f>
        <v/>
      </c>
      <c r="AB7" s="25" t="str">
        <f>IF(Control!AB4="","",IF(Control!AB4=" ","", Control!AB4))</f>
        <v/>
      </c>
      <c r="AC7" s="25" t="str">
        <f>IF(Control!AC4="","",IF(Control!AC4=" ","", Control!AC4))</f>
        <v/>
      </c>
      <c r="AD7" s="25" t="str">
        <f>IF(Control!AD4="","",IF(Control!AD4=" ","", Control!AD4))</f>
        <v/>
      </c>
      <c r="AE7" s="25" t="str">
        <f>IF(Control!AE4="","",IF(Control!AE4=" ","", Control!AE4))</f>
        <v/>
      </c>
      <c r="AF7" s="25" t="str">
        <f>IF(Control!AF4="","",IF(Control!AF4=" ","", Control!AF4))</f>
        <v/>
      </c>
      <c r="AG7" s="25" t="str">
        <f>IF(Control!AG4="","",IF(Control!AG4=" ","", Control!AG4))</f>
        <v/>
      </c>
      <c r="AH7" s="25" t="str">
        <f>IF(Control!AH4="","",IF(Control!AH4=" ","", Control!AH4))</f>
        <v/>
      </c>
      <c r="AI7" s="25" t="str">
        <f>IF(Control!AI4="","",IF(Control!AI4=" ","", Control!AI4))</f>
        <v/>
      </c>
      <c r="AJ7" s="25" t="str">
        <f>IF(Control!AJ4="","",IF(Control!AJ4=" ","", Control!AJ4))</f>
        <v/>
      </c>
      <c r="AK7" s="25" t="str">
        <f>IF(Control!AK4="","",IF(Control!AK4=" ","", Control!AK4))</f>
        <v/>
      </c>
      <c r="AL7" s="25" t="str">
        <f>IF(Control!AL4="","",IF(Control!AL4=" ","", Control!AL4))</f>
        <v/>
      </c>
      <c r="AM7" s="25" t="str">
        <f>IF(Control!AM4="","",IF(Control!AM4=" ","", Control!AM4))</f>
        <v/>
      </c>
      <c r="AN7" s="25" t="str">
        <f>IF(Control!AN4="","",IF(Control!AN4=" ","", Control!AN4))</f>
        <v/>
      </c>
      <c r="AO7" s="25" t="str">
        <f>IF(Control!AO4="","",IF(Control!AO4=" ","", Control!AO4))</f>
        <v/>
      </c>
      <c r="AP7" s="25" t="str">
        <f>IF(Control!AP4="","",IF(Control!AP4=" ","", Control!AP4))</f>
        <v/>
      </c>
      <c r="AQ7" s="25" t="str">
        <f>IF(Control!AQ4="","",IF(Control!AQ4=" ","", Control!AQ4))</f>
        <v/>
      </c>
      <c r="AR7" s="25" t="str">
        <f>IF(Control!AR4="","",IF(Control!AR4=" ","", Control!AR4))</f>
        <v/>
      </c>
      <c r="AS7" s="25" t="str">
        <f>IF(Control!AS4="","",IF(Control!AS4=" ","", Control!AS4))</f>
        <v/>
      </c>
      <c r="AT7" s="25" t="str">
        <f>IF(Control!AT4="","",IF(Control!AT4=" ","", Control!AT4))</f>
        <v/>
      </c>
      <c r="AU7" s="25" t="str">
        <f>IF(Control!AU4="","",IF(Control!AU4=" ","", Control!AU4))</f>
        <v/>
      </c>
      <c r="AV7" s="25" t="str">
        <f>IF(Control!AV4="","",IF(Control!AV4=" ","", Control!AV4))</f>
        <v/>
      </c>
      <c r="AW7" s="25" t="str">
        <f>IF(Control!AW4="","",IF(Control!AW4=" ","", Control!AW4))</f>
        <v/>
      </c>
      <c r="AX7" s="88" t="str">
        <f>IF(Control!AX4="","",IF(Control!AX4=" ","", Control!AX4))</f>
        <v/>
      </c>
      <c r="AY7" s="25" t="str">
        <f>IF(Control!AY4="","",IF(Control!AY4=" ","", Control!AY4))</f>
        <v/>
      </c>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c r="CT7" s="23"/>
      <c r="CU7" s="23"/>
      <c r="CV7" s="23"/>
      <c r="CW7" s="23"/>
      <c r="CX7" s="23"/>
      <c r="CY7" s="23"/>
      <c r="CZ7" s="23"/>
    </row>
    <row r="8" spans="1:104" ht="15" customHeight="1" thickBot="1">
      <c r="A8" s="16"/>
      <c r="B8" s="17"/>
      <c r="C8" s="17"/>
      <c r="D8" s="17"/>
      <c r="E8" s="17"/>
      <c r="F8" s="17"/>
      <c r="G8" s="17"/>
      <c r="H8" s="17"/>
      <c r="I8" s="17"/>
      <c r="J8" s="17"/>
      <c r="K8" s="17"/>
      <c r="L8" s="17"/>
      <c r="M8" s="17"/>
      <c r="N8" s="17"/>
      <c r="O8" s="17"/>
      <c r="P8" s="17"/>
      <c r="Q8" s="17"/>
      <c r="R8" s="17"/>
      <c r="S8" s="17"/>
      <c r="T8" s="17"/>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c r="CT8" s="23"/>
      <c r="CU8" s="23"/>
      <c r="CV8" s="23"/>
      <c r="CW8" s="23"/>
      <c r="CX8" s="23"/>
      <c r="CY8" s="23"/>
      <c r="CZ8" s="23"/>
    </row>
    <row r="9" spans="1:104" ht="20.100000000000001" customHeight="1" thickBot="1">
      <c r="A9" s="190" t="s">
        <v>369</v>
      </c>
      <c r="B9" s="20"/>
      <c r="C9" s="20"/>
      <c r="D9" s="20"/>
      <c r="E9" s="20"/>
      <c r="F9" s="20"/>
      <c r="G9" s="20"/>
      <c r="H9" s="20"/>
      <c r="I9" s="20"/>
      <c r="J9" s="20"/>
      <c r="K9" s="20"/>
      <c r="L9" s="19"/>
      <c r="M9" s="19"/>
      <c r="N9" s="19"/>
      <c r="O9" s="19"/>
      <c r="P9" s="19"/>
      <c r="Q9" s="19"/>
      <c r="R9" s="19"/>
      <c r="S9" s="19"/>
      <c r="T9" s="19"/>
      <c r="U9" s="19"/>
      <c r="V9" s="6"/>
      <c r="W9" s="6"/>
      <c r="X9" s="6"/>
      <c r="Y9" s="6"/>
      <c r="Z9" s="6"/>
      <c r="AA9" s="6"/>
      <c r="AB9" s="6"/>
      <c r="AC9" s="6"/>
      <c r="AD9" s="6"/>
      <c r="AE9" s="6"/>
      <c r="AF9" s="6"/>
      <c r="AG9" s="6"/>
      <c r="AH9" s="6"/>
      <c r="AI9" s="6"/>
      <c r="AJ9" s="6"/>
      <c r="AK9" s="6"/>
      <c r="AL9" s="6"/>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c r="CT9" s="23"/>
      <c r="CU9" s="23"/>
      <c r="CV9" s="23"/>
      <c r="CW9" s="23"/>
      <c r="CX9" s="23"/>
      <c r="CY9" s="23"/>
      <c r="CZ9" s="23"/>
    </row>
    <row r="10" spans="1:104" ht="18" customHeight="1">
      <c r="A10" s="189" t="s">
        <v>370</v>
      </c>
      <c r="B10" s="192">
        <f ca="1">MATCH(MAX(INDIRECT("'Data " &amp; COLUMN()-1 &amp;  "'!A$2:A$99")), INDIRECT("'Data " &amp; COLUMN()-1 &amp;  "'!A$2:A$99"),0)</f>
        <v>1</v>
      </c>
      <c r="C10" s="192">
        <f ca="1">MATCH(MAX(INDIRECT("'Data " &amp; COLUMN()-1 &amp;  "'!A$2:A$99")), INDIRECT("'Data " &amp; COLUMN()-1 &amp;  "'!A$2:A$99"),0)</f>
        <v>2</v>
      </c>
      <c r="D10" s="192">
        <f ca="1">MATCH(MAX(INDIRECT("'Data " &amp; COLUMN()-1 &amp;  "'!A$2:A$99")), INDIRECT("'Data " &amp; COLUMN()-1 &amp;  "'!A$2:A$99"),0)</f>
        <v>1</v>
      </c>
      <c r="E10" s="192">
        <f ca="1">MATCH(MAX(INDIRECT("'Data " &amp; COLUMN()-1 &amp;  "'!A$2:A$99")), INDIRECT("'Data " &amp; COLUMN()-1 &amp;  "'!A$2:A$99"),0)</f>
        <v>2</v>
      </c>
      <c r="F10" s="192">
        <f ca="1">MATCH(MAX(INDIRECT("'Data " &amp; COLUMN()-1 &amp;  "'!A$2:A$99")), INDIRECT("'Data " &amp; COLUMN()-1 &amp;  "'!A$2:A$99"),0)</f>
        <v>2</v>
      </c>
      <c r="G10" s="192">
        <f ca="1">MATCH(MAX(INDIRECT("'Data " &amp; COLUMN()-1 &amp;  "'!A$2:A$99")), INDIRECT("'Data " &amp; COLUMN()-1 &amp;  "'!A$2:A$99"),0)</f>
        <v>2</v>
      </c>
      <c r="H10" s="192">
        <f ca="1">MATCH(MAX(INDIRECT("'Data " &amp; COLUMN()-1 &amp;  "'!A$2:A$99")), INDIRECT("'Data " &amp; COLUMN()-1 &amp;  "'!A$2:A$99"),0)</f>
        <v>2</v>
      </c>
      <c r="I10" s="192">
        <v>1</v>
      </c>
      <c r="J10" s="192">
        <v>1</v>
      </c>
      <c r="K10" s="192">
        <v>1</v>
      </c>
      <c r="L10" s="192">
        <v>1</v>
      </c>
      <c r="M10" s="192">
        <v>1</v>
      </c>
      <c r="N10" s="192">
        <v>1</v>
      </c>
      <c r="O10" s="192">
        <v>1</v>
      </c>
      <c r="P10" s="192">
        <v>1</v>
      </c>
      <c r="Q10" s="192">
        <v>1</v>
      </c>
      <c r="R10" s="192">
        <v>1</v>
      </c>
      <c r="S10" s="192">
        <v>1</v>
      </c>
      <c r="T10" s="168">
        <v>1</v>
      </c>
      <c r="U10" s="168">
        <v>1</v>
      </c>
      <c r="V10" s="168">
        <v>1</v>
      </c>
      <c r="W10" s="168">
        <v>1</v>
      </c>
      <c r="X10" s="168">
        <v>1</v>
      </c>
      <c r="Y10" s="168">
        <v>1</v>
      </c>
      <c r="Z10" s="168">
        <v>1</v>
      </c>
      <c r="AA10" s="168">
        <v>1</v>
      </c>
      <c r="AB10" s="168">
        <v>1</v>
      </c>
      <c r="AC10" s="168">
        <v>1</v>
      </c>
      <c r="AD10" s="168">
        <v>1</v>
      </c>
      <c r="AE10" s="168">
        <v>1</v>
      </c>
      <c r="AF10" s="168">
        <v>1</v>
      </c>
      <c r="AG10" s="168">
        <v>1</v>
      </c>
      <c r="AH10" s="168">
        <v>1</v>
      </c>
      <c r="AI10" s="168">
        <v>1</v>
      </c>
      <c r="AJ10" s="168">
        <v>1</v>
      </c>
      <c r="AK10" s="168">
        <v>1</v>
      </c>
      <c r="AL10" s="168">
        <v>1</v>
      </c>
      <c r="AM10" s="193">
        <v>1</v>
      </c>
      <c r="AN10" s="193">
        <v>1</v>
      </c>
      <c r="AO10" s="193">
        <v>1</v>
      </c>
      <c r="AP10" s="193">
        <v>1</v>
      </c>
      <c r="AQ10" s="193">
        <v>1</v>
      </c>
      <c r="AR10" s="193">
        <v>1</v>
      </c>
      <c r="AS10" s="193">
        <v>1</v>
      </c>
      <c r="AT10" s="193">
        <v>1</v>
      </c>
      <c r="AU10" s="193">
        <v>1</v>
      </c>
      <c r="AV10" s="193">
        <v>1</v>
      </c>
      <c r="AW10" s="193">
        <v>1</v>
      </c>
      <c r="AX10" s="193">
        <v>1</v>
      </c>
      <c r="AY10" s="193">
        <v>1</v>
      </c>
      <c r="AZ10" s="23">
        <v>1</v>
      </c>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c r="CT10" s="23"/>
      <c r="CU10" s="23"/>
      <c r="CV10" s="23"/>
      <c r="CW10" s="23"/>
      <c r="CX10" s="23"/>
      <c r="CY10" s="23"/>
      <c r="CZ10" s="23"/>
    </row>
    <row r="11" spans="1:104" s="1" customFormat="1" ht="15" customHeight="1" thickBot="1">
      <c r="A11" s="84"/>
      <c r="B11" s="194"/>
      <c r="C11" s="194"/>
      <c r="D11" s="194"/>
      <c r="E11" s="194"/>
      <c r="F11" s="194"/>
      <c r="G11" s="194"/>
      <c r="H11" s="194"/>
      <c r="I11" s="194"/>
      <c r="J11" s="194"/>
      <c r="K11" s="194"/>
      <c r="L11" s="195"/>
      <c r="M11" s="196"/>
      <c r="N11" s="196"/>
      <c r="O11" s="196"/>
      <c r="P11" s="195"/>
      <c r="Q11" s="195"/>
      <c r="R11" s="195"/>
      <c r="S11" s="195"/>
      <c r="T11" s="195"/>
      <c r="U11" s="195"/>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row>
    <row r="12" spans="1:104" ht="18" customHeight="1" thickBot="1">
      <c r="A12" s="190" t="s">
        <v>24</v>
      </c>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c r="CV12" s="23"/>
      <c r="CW12" s="23"/>
      <c r="CX12" s="23"/>
      <c r="CY12" s="23"/>
      <c r="CZ12" s="23"/>
    </row>
    <row r="13" spans="1:104" ht="18" customHeight="1">
      <c r="A13" s="210" t="s">
        <v>331</v>
      </c>
      <c r="B13" s="24">
        <v>1</v>
      </c>
      <c r="C13" s="24">
        <v>1</v>
      </c>
      <c r="D13" s="122">
        <v>2</v>
      </c>
      <c r="E13" s="122">
        <v>3</v>
      </c>
      <c r="F13" s="122">
        <v>8</v>
      </c>
      <c r="G13" s="24">
        <v>1</v>
      </c>
      <c r="H13" s="122">
        <v>2</v>
      </c>
      <c r="I13" s="122">
        <v>3</v>
      </c>
      <c r="J13" s="122">
        <v>8</v>
      </c>
      <c r="K13" s="122">
        <v>5</v>
      </c>
      <c r="L13" s="24">
        <v>1</v>
      </c>
      <c r="M13" s="122">
        <v>2</v>
      </c>
      <c r="N13" s="122">
        <v>3</v>
      </c>
      <c r="O13" s="122">
        <v>8</v>
      </c>
      <c r="P13" s="122">
        <v>5</v>
      </c>
      <c r="Q13" s="122">
        <v>9</v>
      </c>
      <c r="R13" s="122">
        <v>4</v>
      </c>
      <c r="S13" s="122">
        <v>4</v>
      </c>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row>
    <row r="14" spans="1:104" s="2" customFormat="1" ht="18" customHeight="1">
      <c r="A14" s="211" t="s">
        <v>332</v>
      </c>
      <c r="B14" s="198">
        <v>11</v>
      </c>
      <c r="C14" s="198">
        <v>3</v>
      </c>
      <c r="D14" s="198">
        <v>5</v>
      </c>
      <c r="E14" s="198">
        <v>7</v>
      </c>
      <c r="F14" s="198">
        <v>10</v>
      </c>
      <c r="G14" s="198">
        <v>3</v>
      </c>
      <c r="H14" s="198">
        <v>5</v>
      </c>
      <c r="I14" s="198">
        <v>7</v>
      </c>
      <c r="J14" s="198">
        <v>10</v>
      </c>
      <c r="K14" s="198">
        <v>1</v>
      </c>
      <c r="L14" s="198">
        <v>3</v>
      </c>
      <c r="M14" s="198">
        <v>5</v>
      </c>
      <c r="N14" s="198">
        <v>7</v>
      </c>
      <c r="O14" s="198">
        <v>10</v>
      </c>
      <c r="P14" s="198">
        <v>1</v>
      </c>
      <c r="Q14" s="198">
        <v>11</v>
      </c>
      <c r="R14" s="198">
        <v>8</v>
      </c>
      <c r="S14" s="198">
        <v>8</v>
      </c>
      <c r="T14" s="198"/>
      <c r="U14" s="198"/>
      <c r="V14" s="198"/>
      <c r="W14" s="198"/>
      <c r="X14" s="198"/>
      <c r="Y14" s="198"/>
      <c r="Z14" s="198"/>
      <c r="AA14" s="198"/>
      <c r="AB14" s="198"/>
      <c r="AC14" s="198"/>
      <c r="AD14" s="198"/>
      <c r="AE14" s="198"/>
      <c r="AF14" s="198"/>
      <c r="AG14" s="199"/>
      <c r="AH14" s="199"/>
      <c r="AI14" s="199"/>
      <c r="AJ14" s="199"/>
      <c r="AK14" s="199"/>
      <c r="AL14" s="199"/>
      <c r="AM14" s="199"/>
      <c r="AN14" s="199"/>
      <c r="AO14" s="199"/>
      <c r="AP14" s="199"/>
      <c r="AQ14" s="199"/>
      <c r="AR14" s="199"/>
      <c r="AS14" s="199"/>
      <c r="AT14" s="199"/>
      <c r="AU14" s="199"/>
      <c r="AV14" s="199"/>
      <c r="AW14" s="199"/>
      <c r="AX14" s="199"/>
      <c r="AY14" s="19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row>
    <row r="15" spans="1:104" ht="18" customHeight="1">
      <c r="A15" s="212" t="s">
        <v>333</v>
      </c>
      <c r="B15" s="200">
        <v>0</v>
      </c>
      <c r="C15" s="200">
        <v>0</v>
      </c>
      <c r="D15" s="198">
        <v>0</v>
      </c>
      <c r="E15" s="198">
        <v>0</v>
      </c>
      <c r="F15" s="198">
        <v>0</v>
      </c>
      <c r="G15" s="198">
        <v>0</v>
      </c>
      <c r="H15" s="198">
        <v>0</v>
      </c>
      <c r="I15" s="198">
        <v>0</v>
      </c>
      <c r="J15" s="198">
        <v>0</v>
      </c>
      <c r="K15" s="198">
        <v>0</v>
      </c>
      <c r="L15" s="198">
        <v>0</v>
      </c>
      <c r="M15" s="198">
        <v>0</v>
      </c>
      <c r="N15" s="198">
        <v>0</v>
      </c>
      <c r="O15" s="198">
        <v>0</v>
      </c>
      <c r="P15" s="198">
        <v>0</v>
      </c>
      <c r="Q15" s="198">
        <v>0</v>
      </c>
      <c r="R15" s="198">
        <v>0</v>
      </c>
      <c r="S15" s="198">
        <v>0</v>
      </c>
      <c r="T15" s="198"/>
      <c r="U15" s="198"/>
      <c r="V15" s="198"/>
      <c r="W15" s="198"/>
      <c r="X15" s="198"/>
      <c r="Y15" s="198"/>
      <c r="Z15" s="198"/>
      <c r="AA15" s="198"/>
      <c r="AB15" s="198"/>
      <c r="AC15" s="198"/>
      <c r="AD15" s="198"/>
      <c r="AE15" s="198"/>
      <c r="AF15" s="198"/>
      <c r="AG15" s="122"/>
      <c r="AH15" s="122"/>
      <c r="AI15" s="122"/>
      <c r="AJ15" s="122"/>
      <c r="AK15" s="122"/>
      <c r="AL15" s="122"/>
      <c r="AM15" s="122"/>
      <c r="AN15" s="122"/>
      <c r="AO15" s="122"/>
      <c r="AP15" s="122"/>
      <c r="AQ15" s="122"/>
      <c r="AR15" s="122"/>
      <c r="AS15" s="122"/>
      <c r="AT15" s="122"/>
      <c r="AU15" s="122"/>
      <c r="AV15" s="122"/>
      <c r="AW15" s="122"/>
      <c r="AX15" s="122"/>
      <c r="AY15" s="122"/>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c r="CV15" s="23"/>
      <c r="CW15" s="23"/>
      <c r="CX15" s="23"/>
      <c r="CY15" s="23"/>
      <c r="CZ15" s="23"/>
    </row>
    <row r="16" spans="1:104" ht="18" customHeight="1" thickBot="1">
      <c r="A16" s="213" t="s">
        <v>334</v>
      </c>
      <c r="B16" s="201">
        <v>10</v>
      </c>
      <c r="C16" s="201">
        <v>10</v>
      </c>
      <c r="D16" s="201">
        <v>10</v>
      </c>
      <c r="E16" s="201">
        <v>10</v>
      </c>
      <c r="F16" s="201">
        <v>10</v>
      </c>
      <c r="G16" s="201">
        <v>10</v>
      </c>
      <c r="H16" s="201">
        <v>10</v>
      </c>
      <c r="I16" s="201">
        <v>10</v>
      </c>
      <c r="J16" s="201">
        <v>10</v>
      </c>
      <c r="K16" s="201">
        <v>10</v>
      </c>
      <c r="L16" s="201">
        <v>10</v>
      </c>
      <c r="M16" s="201">
        <v>10</v>
      </c>
      <c r="N16" s="201">
        <v>10</v>
      </c>
      <c r="O16" s="201">
        <v>10</v>
      </c>
      <c r="P16" s="201">
        <v>10</v>
      </c>
      <c r="Q16" s="201">
        <v>10</v>
      </c>
      <c r="R16" s="201">
        <v>10</v>
      </c>
      <c r="S16" s="201">
        <v>10</v>
      </c>
      <c r="T16" s="201"/>
      <c r="U16" s="201"/>
      <c r="V16" s="201"/>
      <c r="W16" s="201"/>
      <c r="X16" s="201"/>
      <c r="Y16" s="201"/>
      <c r="Z16" s="201"/>
      <c r="AA16" s="201"/>
      <c r="AB16" s="201"/>
      <c r="AC16" s="201"/>
      <c r="AD16" s="201"/>
      <c r="AE16" s="201"/>
      <c r="AF16" s="201"/>
      <c r="AG16" s="199"/>
      <c r="AH16" s="199"/>
      <c r="AI16" s="199"/>
      <c r="AJ16" s="199"/>
      <c r="AK16" s="199"/>
      <c r="AL16" s="199"/>
      <c r="AM16" s="199"/>
      <c r="AN16" s="199"/>
      <c r="AO16" s="199"/>
      <c r="AP16" s="199"/>
      <c r="AQ16" s="199"/>
      <c r="AR16" s="199"/>
      <c r="AS16" s="199"/>
      <c r="AT16" s="199"/>
      <c r="AU16" s="199"/>
      <c r="AV16" s="199"/>
      <c r="AW16" s="199"/>
      <c r="AX16" s="199"/>
      <c r="AY16" s="199"/>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c r="CU16" s="23"/>
      <c r="CV16" s="23"/>
      <c r="CW16" s="23"/>
      <c r="CX16" s="23"/>
      <c r="CY16" s="23"/>
      <c r="CZ16" s="23"/>
    </row>
    <row r="17" spans="1:104" s="1" customFormat="1" ht="9.75" customHeight="1" thickBot="1">
      <c r="A17" s="21"/>
      <c r="B17" s="194"/>
      <c r="C17" s="194"/>
      <c r="D17" s="194"/>
      <c r="E17" s="194"/>
      <c r="F17" s="194"/>
      <c r="G17" s="194"/>
      <c r="H17" s="194"/>
      <c r="I17" s="194"/>
      <c r="J17" s="194"/>
      <c r="K17" s="194"/>
      <c r="L17" s="194"/>
      <c r="M17" s="194"/>
      <c r="N17" s="194"/>
      <c r="O17" s="194"/>
      <c r="P17" s="194"/>
      <c r="Q17" s="202"/>
      <c r="R17" s="194"/>
      <c r="S17" s="194"/>
      <c r="T17" s="194"/>
      <c r="U17" s="194"/>
      <c r="V17" s="194"/>
      <c r="W17" s="194"/>
      <c r="X17" s="194"/>
      <c r="Y17" s="194"/>
      <c r="Z17" s="194"/>
      <c r="AA17" s="194"/>
      <c r="AB17" s="194"/>
      <c r="AC17" s="194"/>
      <c r="AD17" s="194"/>
      <c r="AE17" s="194"/>
      <c r="AF17" s="202"/>
      <c r="AG17" s="202"/>
      <c r="AH17" s="202"/>
      <c r="AI17" s="202"/>
      <c r="AJ17" s="202"/>
      <c r="AK17" s="202"/>
      <c r="AL17" s="202"/>
      <c r="AM17" s="202"/>
      <c r="AN17" s="202"/>
      <c r="AO17" s="202"/>
      <c r="AP17" s="202"/>
      <c r="AQ17" s="202"/>
      <c r="AR17" s="202"/>
      <c r="AS17" s="202"/>
      <c r="AT17" s="202"/>
      <c r="AU17" s="202"/>
      <c r="AV17" s="202"/>
      <c r="AW17" s="202"/>
      <c r="AX17" s="202"/>
      <c r="AY17" s="20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pans="1:104" ht="18" customHeight="1" thickBot="1">
      <c r="A18" s="190" t="s">
        <v>25</v>
      </c>
      <c r="B18" s="203"/>
      <c r="C18" s="203"/>
      <c r="D18" s="203"/>
      <c r="E18" s="203"/>
      <c r="F18" s="203"/>
      <c r="G18" s="203"/>
      <c r="H18" s="203"/>
      <c r="I18" s="203"/>
      <c r="J18" s="203"/>
      <c r="K18" s="203"/>
      <c r="L18" s="203"/>
      <c r="M18" s="203"/>
      <c r="N18" s="203"/>
      <c r="O18" s="203"/>
      <c r="P18" s="203"/>
      <c r="Q18" s="204"/>
      <c r="R18" s="203"/>
      <c r="S18" s="203"/>
      <c r="T18" s="203"/>
      <c r="U18" s="203"/>
      <c r="V18" s="203"/>
      <c r="W18" s="203"/>
      <c r="X18" s="203"/>
      <c r="Y18" s="203"/>
      <c r="Z18" s="203"/>
      <c r="AA18" s="203"/>
      <c r="AB18" s="203"/>
      <c r="AC18" s="203"/>
      <c r="AD18" s="203"/>
      <c r="AE18" s="203"/>
      <c r="AF18" s="204"/>
      <c r="AG18" s="204"/>
      <c r="AH18" s="204"/>
      <c r="AI18" s="204"/>
      <c r="AJ18" s="204"/>
      <c r="AK18" s="204"/>
      <c r="AL18" s="204"/>
      <c r="AM18" s="204"/>
      <c r="AN18" s="204"/>
      <c r="AO18" s="204"/>
      <c r="AP18" s="204"/>
      <c r="AQ18" s="204"/>
      <c r="AR18" s="204"/>
      <c r="AS18" s="204"/>
      <c r="AT18" s="204"/>
      <c r="AU18" s="204"/>
      <c r="AV18" s="204"/>
      <c r="AW18" s="204"/>
      <c r="AX18" s="204"/>
      <c r="AY18" s="204"/>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V18" s="23"/>
      <c r="CW18" s="23"/>
      <c r="CX18" s="23"/>
      <c r="CY18" s="23"/>
      <c r="CZ18" s="23"/>
    </row>
    <row r="19" spans="1:104" ht="18" customHeight="1">
      <c r="A19" s="214" t="s">
        <v>335</v>
      </c>
      <c r="B19" s="198">
        <v>0</v>
      </c>
      <c r="C19" s="198">
        <v>0</v>
      </c>
      <c r="D19" s="198">
        <v>0</v>
      </c>
      <c r="E19" s="198">
        <v>0</v>
      </c>
      <c r="F19" s="198">
        <v>0</v>
      </c>
      <c r="G19" s="198">
        <v>0</v>
      </c>
      <c r="H19" s="198">
        <v>0</v>
      </c>
      <c r="I19" s="198">
        <v>0</v>
      </c>
      <c r="J19" s="198">
        <v>0</v>
      </c>
      <c r="K19" s="198">
        <v>0</v>
      </c>
      <c r="L19" s="198">
        <v>0</v>
      </c>
      <c r="M19" s="198">
        <v>0</v>
      </c>
      <c r="N19" s="198">
        <v>0</v>
      </c>
      <c r="O19" s="198">
        <v>0</v>
      </c>
      <c r="P19" s="198">
        <v>0</v>
      </c>
      <c r="Q19" s="201">
        <v>0</v>
      </c>
      <c r="R19" s="201">
        <v>0</v>
      </c>
      <c r="S19" s="201">
        <v>0</v>
      </c>
      <c r="T19" s="201"/>
      <c r="U19" s="201"/>
      <c r="V19" s="201"/>
      <c r="W19" s="201"/>
      <c r="X19" s="201"/>
      <c r="Y19" s="201"/>
      <c r="Z19" s="201"/>
      <c r="AA19" s="201"/>
      <c r="AB19" s="201"/>
      <c r="AC19" s="201"/>
      <c r="AD19" s="201"/>
      <c r="AE19" s="201"/>
      <c r="AF19" s="201"/>
      <c r="AG19" s="122"/>
      <c r="AH19" s="122"/>
      <c r="AI19" s="122"/>
      <c r="AJ19" s="122"/>
      <c r="AK19" s="122"/>
      <c r="AL19" s="122"/>
      <c r="AM19" s="122"/>
      <c r="AN19" s="122"/>
      <c r="AO19" s="122"/>
      <c r="AP19" s="122"/>
      <c r="AQ19" s="122"/>
      <c r="AR19" s="122"/>
      <c r="AS19" s="122"/>
      <c r="AT19" s="122"/>
      <c r="AU19" s="122"/>
      <c r="AV19" s="122"/>
      <c r="AW19" s="122"/>
      <c r="AX19" s="122"/>
      <c r="AY19" s="122"/>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c r="CW19" s="23"/>
      <c r="CX19" s="23"/>
      <c r="CY19" s="23"/>
      <c r="CZ19" s="23"/>
    </row>
    <row r="20" spans="1:104" s="1" customFormat="1" ht="18" customHeight="1">
      <c r="A20" s="215" t="s">
        <v>27</v>
      </c>
      <c r="B20" s="198">
        <v>11</v>
      </c>
      <c r="C20" s="198">
        <v>3</v>
      </c>
      <c r="D20" s="198">
        <v>5</v>
      </c>
      <c r="E20" s="198">
        <v>7</v>
      </c>
      <c r="F20" s="198">
        <v>10</v>
      </c>
      <c r="G20" s="198">
        <v>3</v>
      </c>
      <c r="H20" s="198">
        <v>5</v>
      </c>
      <c r="I20" s="198">
        <v>7</v>
      </c>
      <c r="J20" s="198">
        <v>10</v>
      </c>
      <c r="K20" s="198">
        <v>1</v>
      </c>
      <c r="L20" s="198">
        <v>3</v>
      </c>
      <c r="M20" s="198">
        <v>5</v>
      </c>
      <c r="N20" s="198">
        <v>7</v>
      </c>
      <c r="O20" s="198">
        <v>10</v>
      </c>
      <c r="P20" s="198">
        <v>1</v>
      </c>
      <c r="Q20" s="198">
        <v>11</v>
      </c>
      <c r="R20" s="198">
        <v>8</v>
      </c>
      <c r="S20" s="198">
        <v>8</v>
      </c>
      <c r="T20" s="198"/>
      <c r="U20" s="198"/>
      <c r="V20" s="198"/>
      <c r="W20" s="198"/>
      <c r="X20" s="198"/>
      <c r="Y20" s="198"/>
      <c r="Z20" s="198"/>
      <c r="AA20" s="198"/>
      <c r="AB20" s="198"/>
      <c r="AC20" s="198"/>
      <c r="AD20" s="198"/>
      <c r="AE20" s="198"/>
      <c r="AF20" s="198"/>
      <c r="AG20" s="205"/>
      <c r="AH20" s="205"/>
      <c r="AI20" s="205"/>
      <c r="AJ20" s="205"/>
      <c r="AK20" s="205"/>
      <c r="AL20" s="205"/>
      <c r="AM20" s="205"/>
      <c r="AN20" s="205"/>
      <c r="AO20" s="205"/>
      <c r="AP20" s="205"/>
      <c r="AQ20" s="205"/>
      <c r="AR20" s="205"/>
      <c r="AS20" s="205"/>
      <c r="AT20" s="205"/>
      <c r="AU20" s="205"/>
      <c r="AV20" s="205"/>
      <c r="AW20" s="205"/>
      <c r="AX20" s="205"/>
      <c r="AY20" s="205"/>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pans="1:104" ht="18" customHeight="1" thickBot="1">
      <c r="A21" s="216" t="s">
        <v>336</v>
      </c>
      <c r="B21" s="201">
        <v>2</v>
      </c>
      <c r="C21" s="201">
        <v>2</v>
      </c>
      <c r="D21" s="201">
        <v>2</v>
      </c>
      <c r="E21" s="201">
        <v>2</v>
      </c>
      <c r="F21" s="201">
        <v>2</v>
      </c>
      <c r="G21" s="201">
        <v>2</v>
      </c>
      <c r="H21" s="201">
        <v>2</v>
      </c>
      <c r="I21" s="201">
        <v>2</v>
      </c>
      <c r="J21" s="201">
        <v>2</v>
      </c>
      <c r="K21" s="201">
        <v>2</v>
      </c>
      <c r="L21" s="201">
        <v>2</v>
      </c>
      <c r="M21" s="201">
        <v>2</v>
      </c>
      <c r="N21" s="201">
        <v>2</v>
      </c>
      <c r="O21" s="201">
        <v>2</v>
      </c>
      <c r="P21" s="201">
        <v>2</v>
      </c>
      <c r="Q21" s="201">
        <v>2</v>
      </c>
      <c r="R21" s="201">
        <v>2</v>
      </c>
      <c r="S21" s="201">
        <v>2</v>
      </c>
      <c r="T21" s="201"/>
      <c r="U21" s="201"/>
      <c r="V21" s="201"/>
      <c r="W21" s="201"/>
      <c r="X21" s="201"/>
      <c r="Y21" s="201"/>
      <c r="Z21" s="201"/>
      <c r="AA21" s="201"/>
      <c r="AB21" s="201"/>
      <c r="AC21" s="201"/>
      <c r="AD21" s="201"/>
      <c r="AE21" s="201"/>
      <c r="AF21" s="201"/>
      <c r="AG21" s="122"/>
      <c r="AH21" s="122"/>
      <c r="AI21" s="122"/>
      <c r="AJ21" s="122"/>
      <c r="AK21" s="122"/>
      <c r="AL21" s="122"/>
      <c r="AM21" s="122"/>
      <c r="AN21" s="122"/>
      <c r="AO21" s="122"/>
      <c r="AP21" s="122"/>
      <c r="AQ21" s="122"/>
      <c r="AR21" s="122"/>
      <c r="AS21" s="122"/>
      <c r="AT21" s="122"/>
      <c r="AU21" s="122"/>
      <c r="AV21" s="122"/>
      <c r="AW21" s="122"/>
      <c r="AX21" s="122"/>
      <c r="AY21" s="122"/>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c r="CV21" s="23"/>
      <c r="CW21" s="23"/>
      <c r="CX21" s="23"/>
      <c r="CY21" s="23"/>
      <c r="CZ21" s="23"/>
    </row>
    <row r="22" spans="1:104" s="1" customFormat="1" ht="9.75" customHeight="1" thickBot="1">
      <c r="A22" s="21"/>
      <c r="B22" s="194"/>
      <c r="C22" s="194"/>
      <c r="D22" s="194"/>
      <c r="E22" s="194"/>
      <c r="F22" s="194"/>
      <c r="G22" s="194"/>
      <c r="H22" s="194"/>
      <c r="I22" s="194"/>
      <c r="J22" s="194"/>
      <c r="K22" s="194"/>
      <c r="L22" s="195"/>
      <c r="M22" s="195"/>
      <c r="N22" s="195"/>
      <c r="O22" s="195"/>
      <c r="P22" s="195"/>
      <c r="Q22" s="195"/>
      <c r="R22" s="195"/>
      <c r="S22" s="195"/>
      <c r="T22" s="195"/>
      <c r="U22" s="195"/>
      <c r="V22" s="197"/>
      <c r="W22" s="197"/>
      <c r="X22" s="197"/>
      <c r="Y22" s="197"/>
      <c r="Z22" s="197"/>
      <c r="AA22" s="197"/>
      <c r="AB22" s="197"/>
      <c r="AC22" s="197"/>
      <c r="AD22" s="197"/>
      <c r="AE22" s="197"/>
      <c r="AF22" s="197"/>
      <c r="AG22" s="197"/>
      <c r="AH22" s="197"/>
      <c r="AI22" s="197"/>
      <c r="AJ22" s="197"/>
      <c r="AK22" s="197"/>
      <c r="AL22" s="197"/>
      <c r="AM22" s="197"/>
      <c r="AN22" s="197"/>
      <c r="AO22" s="197"/>
      <c r="AP22" s="197"/>
      <c r="AQ22" s="197"/>
      <c r="AR22" s="197"/>
      <c r="AS22" s="197"/>
      <c r="AT22" s="197"/>
      <c r="AU22" s="197"/>
      <c r="AV22" s="197"/>
      <c r="AW22" s="197"/>
      <c r="AX22" s="197"/>
      <c r="AY22" s="197"/>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pans="1:104" ht="20.100000000000001" customHeight="1" thickBot="1">
      <c r="A23" s="190" t="s">
        <v>35</v>
      </c>
      <c r="B23" s="203"/>
      <c r="C23" s="203"/>
      <c r="D23" s="203"/>
      <c r="E23" s="203"/>
      <c r="F23" s="203"/>
      <c r="G23" s="203"/>
      <c r="H23" s="203"/>
      <c r="I23" s="203"/>
      <c r="J23" s="203"/>
      <c r="K23" s="203"/>
      <c r="L23" s="206"/>
      <c r="M23" s="206"/>
      <c r="N23" s="206"/>
      <c r="O23" s="206"/>
      <c r="P23" s="206"/>
      <c r="Q23" s="206"/>
      <c r="R23" s="206"/>
      <c r="S23" s="206"/>
      <c r="T23" s="206"/>
      <c r="U23" s="206"/>
      <c r="V23" s="207"/>
      <c r="W23" s="207"/>
      <c r="X23" s="207"/>
      <c r="Y23" s="207"/>
      <c r="Z23" s="207"/>
      <c r="AA23" s="207"/>
      <c r="AB23" s="207"/>
      <c r="AC23" s="207"/>
      <c r="AD23" s="207"/>
      <c r="AE23" s="207"/>
      <c r="AF23" s="207"/>
      <c r="AG23" s="207"/>
      <c r="AH23" s="207"/>
      <c r="AI23" s="207"/>
      <c r="AJ23" s="207"/>
      <c r="AK23" s="207"/>
      <c r="AL23" s="207"/>
      <c r="AM23" s="169"/>
      <c r="AN23" s="169"/>
      <c r="AO23" s="169"/>
      <c r="AP23" s="169"/>
      <c r="AQ23" s="169"/>
      <c r="AR23" s="169"/>
      <c r="AS23" s="169"/>
      <c r="AT23" s="169"/>
      <c r="AU23" s="169"/>
      <c r="AV23" s="169"/>
      <c r="AW23" s="169"/>
      <c r="AX23" s="169"/>
      <c r="AY23" s="169"/>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c r="CU23" s="23"/>
      <c r="CV23" s="23"/>
      <c r="CW23" s="23"/>
      <c r="CX23" s="23"/>
      <c r="CY23" s="23"/>
      <c r="CZ23" s="23"/>
    </row>
    <row r="24" spans="1:104" ht="36" customHeight="1">
      <c r="A24" s="189" t="s">
        <v>43</v>
      </c>
      <c r="B24" s="201"/>
      <c r="C24" s="192"/>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192"/>
      <c r="AB24" s="192"/>
      <c r="AC24" s="192"/>
      <c r="AD24" s="192"/>
      <c r="AE24" s="192"/>
      <c r="AF24" s="168"/>
      <c r="AG24" s="168"/>
      <c r="AH24" s="168"/>
      <c r="AI24" s="168"/>
      <c r="AJ24" s="168"/>
      <c r="AK24" s="168"/>
      <c r="AL24" s="168"/>
      <c r="AM24" s="193"/>
      <c r="AN24" s="193"/>
      <c r="AO24" s="193"/>
      <c r="AP24" s="193"/>
      <c r="AQ24" s="193"/>
      <c r="AR24" s="193"/>
      <c r="AS24" s="193"/>
      <c r="AT24" s="193"/>
      <c r="AU24" s="193"/>
      <c r="AV24" s="193"/>
      <c r="AW24" s="193"/>
      <c r="AX24" s="193"/>
      <c r="AY24" s="19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c r="CW24" s="23"/>
      <c r="CX24" s="23"/>
      <c r="CY24" s="23"/>
      <c r="CZ24" s="23"/>
    </row>
    <row r="25" spans="1:104" s="1" customFormat="1" ht="50.1" customHeight="1" thickBot="1">
      <c r="A25" s="217" t="s">
        <v>44</v>
      </c>
      <c r="B25" s="208" t="str">
        <f>IF(B24="",B7,IF(B24=" ",B7,B24))</f>
        <v>Combined</v>
      </c>
      <c r="C25" s="209" t="str">
        <f t="shared" ref="C25:AY25" si="0">IF(C24="",C7,IF(C24=" ",C7,C24))</f>
        <v>Beta1_30</v>
      </c>
      <c r="D25" s="209" t="str">
        <f t="shared" si="0"/>
        <v>Beta1_45</v>
      </c>
      <c r="E25" s="209" t="str">
        <f t="shared" si="0"/>
        <v>Beta1_60</v>
      </c>
      <c r="F25" s="209" t="str">
        <f t="shared" si="0"/>
        <v>Beta1_70</v>
      </c>
      <c r="G25" s="209" t="str">
        <f t="shared" si="0"/>
        <v>Tmax_06</v>
      </c>
      <c r="H25" s="209" t="str">
        <f t="shared" si="0"/>
        <v>Tmax_08</v>
      </c>
      <c r="I25" s="209" t="str">
        <f t="shared" si="0"/>
        <v>Tmax_10</v>
      </c>
      <c r="J25" s="209" t="str">
        <f t="shared" si="0"/>
        <v>Tmax_12</v>
      </c>
      <c r="K25" s="209" t="str">
        <f t="shared" si="0"/>
        <v>Tmax_15</v>
      </c>
      <c r="L25" s="209" t="str">
        <f t="shared" si="0"/>
        <v>Solidity_0.75</v>
      </c>
      <c r="M25" s="209" t="str">
        <f t="shared" si="0"/>
        <v>Solidity_1.00</v>
      </c>
      <c r="N25" s="209" t="str">
        <f t="shared" si="0"/>
        <v>Solidity_1.25</v>
      </c>
      <c r="O25" s="209" t="str">
        <f t="shared" si="0"/>
        <v>Solidity_1.50</v>
      </c>
      <c r="P25" s="209" t="str">
        <f t="shared" si="0"/>
        <v>Solidity_2.00</v>
      </c>
      <c r="Q25" s="209" t="str">
        <f t="shared" si="0"/>
        <v>Solidity_0.50</v>
      </c>
      <c r="R25" s="209" t="str">
        <f t="shared" si="0"/>
        <v>Solidity_0</v>
      </c>
      <c r="S25" s="209" t="str">
        <f t="shared" si="0"/>
        <v>Beta1_0</v>
      </c>
      <c r="T25" s="209" t="str">
        <f t="shared" si="0"/>
        <v/>
      </c>
      <c r="U25" s="209" t="str">
        <f t="shared" si="0"/>
        <v/>
      </c>
      <c r="V25" s="209" t="str">
        <f t="shared" si="0"/>
        <v/>
      </c>
      <c r="W25" s="209" t="str">
        <f t="shared" si="0"/>
        <v/>
      </c>
      <c r="X25" s="209" t="str">
        <f t="shared" si="0"/>
        <v/>
      </c>
      <c r="Y25" s="209" t="str">
        <f t="shared" si="0"/>
        <v/>
      </c>
      <c r="Z25" s="209" t="str">
        <f t="shared" si="0"/>
        <v/>
      </c>
      <c r="AA25" s="209" t="str">
        <f t="shared" si="0"/>
        <v/>
      </c>
      <c r="AB25" s="209" t="str">
        <f t="shared" si="0"/>
        <v/>
      </c>
      <c r="AC25" s="209" t="str">
        <f t="shared" si="0"/>
        <v/>
      </c>
      <c r="AD25" s="209" t="str">
        <f t="shared" si="0"/>
        <v/>
      </c>
      <c r="AE25" s="209" t="str">
        <f t="shared" si="0"/>
        <v/>
      </c>
      <c r="AF25" s="209" t="str">
        <f t="shared" si="0"/>
        <v/>
      </c>
      <c r="AG25" s="209" t="str">
        <f t="shared" si="0"/>
        <v/>
      </c>
      <c r="AH25" s="209" t="str">
        <f t="shared" si="0"/>
        <v/>
      </c>
      <c r="AI25" s="209" t="str">
        <f t="shared" si="0"/>
        <v/>
      </c>
      <c r="AJ25" s="209" t="str">
        <f t="shared" si="0"/>
        <v/>
      </c>
      <c r="AK25" s="209" t="str">
        <f t="shared" si="0"/>
        <v/>
      </c>
      <c r="AL25" s="209" t="str">
        <f t="shared" si="0"/>
        <v/>
      </c>
      <c r="AM25" s="209" t="str">
        <f t="shared" si="0"/>
        <v/>
      </c>
      <c r="AN25" s="209" t="str">
        <f t="shared" si="0"/>
        <v/>
      </c>
      <c r="AO25" s="209" t="str">
        <f t="shared" si="0"/>
        <v/>
      </c>
      <c r="AP25" s="209" t="str">
        <f t="shared" si="0"/>
        <v/>
      </c>
      <c r="AQ25" s="209" t="str">
        <f t="shared" si="0"/>
        <v/>
      </c>
      <c r="AR25" s="209" t="str">
        <f t="shared" si="0"/>
        <v/>
      </c>
      <c r="AS25" s="209" t="str">
        <f t="shared" si="0"/>
        <v/>
      </c>
      <c r="AT25" s="209" t="str">
        <f t="shared" si="0"/>
        <v/>
      </c>
      <c r="AU25" s="209" t="str">
        <f t="shared" si="0"/>
        <v/>
      </c>
      <c r="AV25" s="209" t="str">
        <f t="shared" si="0"/>
        <v/>
      </c>
      <c r="AW25" s="209" t="str">
        <f t="shared" si="0"/>
        <v/>
      </c>
      <c r="AX25" s="209" t="str">
        <f t="shared" si="0"/>
        <v/>
      </c>
      <c r="AY25" s="209" t="str">
        <f t="shared" si="0"/>
        <v/>
      </c>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row>
    <row r="26" spans="1:104" s="1" customFormat="1" ht="15" customHeight="1" thickBot="1">
      <c r="A26" s="84"/>
      <c r="B26" s="21"/>
      <c r="C26" s="21"/>
      <c r="D26" s="21"/>
      <c r="E26" s="21"/>
      <c r="F26" s="21"/>
      <c r="G26" s="21"/>
      <c r="H26" s="21"/>
      <c r="I26" s="21"/>
      <c r="J26" s="21"/>
      <c r="K26" s="21"/>
      <c r="L26" s="22"/>
      <c r="P26" s="22"/>
      <c r="Q26" s="22"/>
      <c r="R26" s="22"/>
      <c r="S26" s="22"/>
      <c r="T26" s="22"/>
      <c r="U26" s="22"/>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row>
    <row r="27" spans="1:104" ht="20.100000000000001" customHeight="1" thickBot="1">
      <c r="A27" s="191" t="s">
        <v>32</v>
      </c>
      <c r="B27" s="97"/>
      <c r="C27" s="97"/>
      <c r="D27" s="97"/>
      <c r="E27" s="97"/>
      <c r="F27" s="97"/>
      <c r="G27" s="97"/>
      <c r="H27" s="97"/>
      <c r="I27" s="97"/>
      <c r="J27" s="97"/>
      <c r="K27" s="97"/>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9"/>
      <c r="AN27" s="99"/>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23"/>
      <c r="CY27" s="23"/>
      <c r="CZ27" s="23"/>
    </row>
    <row r="28" spans="1:104" ht="20.100000000000001" customHeight="1">
      <c r="A28" s="112" t="s">
        <v>0</v>
      </c>
      <c r="B28" s="107" t="str">
        <f>Control!B10</f>
        <v>1    (Column A)</v>
      </c>
      <c r="C28" s="107" t="str">
        <f>Control!C10</f>
        <v>2    (Column B)</v>
      </c>
      <c r="D28" s="107" t="str">
        <f>Control!D10</f>
        <v>3    (Column C)</v>
      </c>
      <c r="E28" s="107" t="str">
        <f>Control!E10</f>
        <v>4    (Column D)</v>
      </c>
      <c r="F28" s="107" t="str">
        <f>Control!F10</f>
        <v>5    (Column E)</v>
      </c>
      <c r="G28" s="107" t="str">
        <f>Control!G10</f>
        <v>6    (Column F)</v>
      </c>
      <c r="H28" s="107" t="str">
        <f>Control!H10</f>
        <v>7    (Column G)</v>
      </c>
      <c r="I28" s="107" t="str">
        <f>Control!I10</f>
        <v>8    (Column H)</v>
      </c>
      <c r="J28" s="107" t="str">
        <f>Control!J10</f>
        <v>9    (Column I)</v>
      </c>
      <c r="K28" s="107" t="str">
        <f>Control!K10</f>
        <v>10    (Column J)</v>
      </c>
      <c r="L28" s="96" t="str">
        <f>Control!B13</f>
        <v>11    (Column K)</v>
      </c>
      <c r="M28" s="96" t="str">
        <f>Control!C13</f>
        <v>12    (Column L)</v>
      </c>
      <c r="N28" s="96" t="str">
        <f>Control!D13</f>
        <v>13    (Column M)</v>
      </c>
      <c r="O28" s="96" t="str">
        <f>Control!E13</f>
        <v>14    (Column N)</v>
      </c>
      <c r="P28" s="96" t="str">
        <f>Control!F13</f>
        <v>15    (Column O)</v>
      </c>
      <c r="Q28" s="96" t="str">
        <f>Control!G13</f>
        <v>16    (Column P)</v>
      </c>
      <c r="R28" s="96" t="str">
        <f>Control!H13</f>
        <v>17    (Column Q)</v>
      </c>
      <c r="S28" s="96" t="str">
        <f>Control!I13</f>
        <v>18    (Column R)</v>
      </c>
      <c r="T28" s="96" t="str">
        <f>Control!J13</f>
        <v>19    (Column S)</v>
      </c>
      <c r="U28" s="96" t="str">
        <f>Control!K13</f>
        <v>20    (Column T)</v>
      </c>
      <c r="V28" s="96" t="str">
        <f>Control!B16</f>
        <v>21    (Column U)</v>
      </c>
      <c r="W28" s="96" t="str">
        <f>Control!C16</f>
        <v>22    (Column V)</v>
      </c>
      <c r="X28" s="96" t="str">
        <f>Control!D16</f>
        <v>23    (Column W)</v>
      </c>
      <c r="Y28" s="96" t="str">
        <f>Control!E16</f>
        <v>24    (Column X)</v>
      </c>
      <c r="Z28" s="96" t="str">
        <f>Control!F16</f>
        <v>25    (Column Y)</v>
      </c>
      <c r="AA28" s="96" t="str">
        <f>Control!G16</f>
        <v>26    (Column Z)</v>
      </c>
      <c r="AB28" s="96" t="str">
        <f>Control!H16</f>
        <v>27    (Column AA)</v>
      </c>
      <c r="AC28" s="96" t="str">
        <f>Control!I16</f>
        <v>28    (Column AB)</v>
      </c>
      <c r="AD28" s="96" t="str">
        <f>Control!J16</f>
        <v>29    (Column AC)</v>
      </c>
      <c r="AE28" s="96" t="str">
        <f>Control!K16</f>
        <v>30    (Column AD)</v>
      </c>
      <c r="AF28" s="96" t="str">
        <f>Control!B19</f>
        <v>31    (Column AE)</v>
      </c>
      <c r="AG28" s="96" t="str">
        <f>Control!C19</f>
        <v>32    (Column AF)</v>
      </c>
      <c r="AH28" s="96" t="str">
        <f>Control!D19</f>
        <v>33    (Column AG)</v>
      </c>
      <c r="AI28" s="96" t="str">
        <f>Control!E19</f>
        <v>34    (Column AH)</v>
      </c>
      <c r="AJ28" s="96" t="str">
        <f>Control!F19</f>
        <v>35    (Column AI)</v>
      </c>
      <c r="AK28" s="96" t="str">
        <f>Control!G19</f>
        <v>36    (Column AJ)</v>
      </c>
      <c r="AL28" s="96" t="str">
        <f>Control!H19</f>
        <v>37    (Column AK)</v>
      </c>
      <c r="AM28" s="96" t="str">
        <f>Control!I19</f>
        <v>38    (Column AL)</v>
      </c>
      <c r="AN28" s="96" t="str">
        <f>Control!J19</f>
        <v>39    (Column AM)</v>
      </c>
      <c r="AO28" s="96" t="str">
        <f>Control!K19</f>
        <v>40    (Column AN)</v>
      </c>
      <c r="AP28" s="96" t="str">
        <f>Control!B22</f>
        <v>41    (Column AO)</v>
      </c>
      <c r="AQ28" s="96" t="str">
        <f>Control!C22</f>
        <v>42    (Column AP)</v>
      </c>
      <c r="AR28" s="96" t="str">
        <f>Control!D22</f>
        <v>43    (Column AQ)</v>
      </c>
      <c r="AS28" s="96" t="str">
        <f>Control!E22</f>
        <v>44    (Column AR)</v>
      </c>
      <c r="AT28" s="96" t="str">
        <f>Control!F22</f>
        <v>45    (Column AS)</v>
      </c>
      <c r="AU28" s="96" t="str">
        <f>Control!G22</f>
        <v>46    (Column AT)</v>
      </c>
      <c r="AV28" s="96" t="str">
        <f>Control!H22</f>
        <v>47    (Column AU)</v>
      </c>
      <c r="AW28" s="96" t="str">
        <f>Control!I22</f>
        <v>48    (Column AV)</v>
      </c>
      <c r="AX28" s="96" t="str">
        <f>Control!J22</f>
        <v>49    (Column AW)</v>
      </c>
      <c r="AY28" s="96" t="str">
        <f>Control!K22</f>
        <v>50    (Column AX)</v>
      </c>
      <c r="AZ28" s="96" t="str">
        <f>Control!B25</f>
        <v>51    (Column AY)</v>
      </c>
      <c r="BA28" s="96" t="str">
        <f>Control!C25</f>
        <v>52    (Column AZ)</v>
      </c>
      <c r="BB28" s="96" t="str">
        <f>Control!D25</f>
        <v>53    (Column BA)</v>
      </c>
      <c r="BC28" s="96" t="str">
        <f>Control!E25</f>
        <v>54    (Column BB)</v>
      </c>
      <c r="BD28" s="96" t="str">
        <f>Control!F25</f>
        <v>55    (Column BC)</v>
      </c>
      <c r="BE28" s="96" t="str">
        <f>Control!G25</f>
        <v>56    (Column BD)</v>
      </c>
      <c r="BF28" s="96" t="str">
        <f>Control!H25</f>
        <v>57    (Column BE)</v>
      </c>
      <c r="BG28" s="96" t="str">
        <f>Control!I25</f>
        <v>58    (Column BF)</v>
      </c>
      <c r="BH28" s="96" t="str">
        <f>Control!J25</f>
        <v>59    (Column BG)</v>
      </c>
      <c r="BI28" s="96" t="str">
        <f>Control!K25</f>
        <v>60    (Column BH)</v>
      </c>
      <c r="BJ28" s="96" t="str">
        <f>Control!B28</f>
        <v>61    (Column BI)</v>
      </c>
      <c r="BK28" s="96" t="str">
        <f>Control!C28</f>
        <v>62    (Column BJ)</v>
      </c>
      <c r="BL28" s="96" t="str">
        <f>Control!D28</f>
        <v>63    (Column BK)</v>
      </c>
      <c r="BM28" s="96" t="str">
        <f>Control!E28</f>
        <v>64    (Column BL)</v>
      </c>
      <c r="BN28" s="96" t="str">
        <f>Control!F28</f>
        <v>65    (Column BM)</v>
      </c>
      <c r="BO28" s="96" t="str">
        <f>Control!G28</f>
        <v>66    (Column BN)</v>
      </c>
      <c r="BP28" s="96" t="str">
        <f>Control!H28</f>
        <v>67    (Column BO)</v>
      </c>
      <c r="BQ28" s="96" t="str">
        <f>Control!I28</f>
        <v>68    (Column BP)</v>
      </c>
      <c r="BR28" s="96" t="str">
        <f>Control!J28</f>
        <v>69    (Column BQ)</v>
      </c>
      <c r="BS28" s="96" t="str">
        <f>Control!K28</f>
        <v>70    (Column BR)</v>
      </c>
      <c r="BT28" s="96" t="str">
        <f>Control!B31</f>
        <v>71    (Column BS)</v>
      </c>
      <c r="BU28" s="96" t="str">
        <f>Control!C31</f>
        <v>72    (Column BT)</v>
      </c>
      <c r="BV28" s="96" t="str">
        <f>Control!D31</f>
        <v>73    (Column BU)</v>
      </c>
      <c r="BW28" s="96" t="str">
        <f>Control!E31</f>
        <v>74    (Column BV)</v>
      </c>
      <c r="BX28" s="96" t="str">
        <f>Control!F31</f>
        <v>75    (Column BW)</v>
      </c>
      <c r="BY28" s="96" t="str">
        <f>Control!G31</f>
        <v>76    (Column BX)</v>
      </c>
      <c r="BZ28" s="96" t="str">
        <f>Control!H31</f>
        <v>77    (Column BY)</v>
      </c>
      <c r="CA28" s="96" t="str">
        <f>Control!I31</f>
        <v>78    (Column BZ)</v>
      </c>
      <c r="CB28" s="96" t="str">
        <f>Control!J31</f>
        <v>79    (Column CA)</v>
      </c>
      <c r="CC28" s="96" t="str">
        <f>Control!K31</f>
        <v>80    (Column CB)</v>
      </c>
      <c r="CD28" s="96" t="str">
        <f>Control!B34</f>
        <v>81    (Column CC)</v>
      </c>
      <c r="CE28" s="96" t="str">
        <f>Control!C34</f>
        <v>82    (Column CD)</v>
      </c>
      <c r="CF28" s="96" t="str">
        <f>Control!D34</f>
        <v>83    (Column CE)</v>
      </c>
      <c r="CG28" s="96" t="str">
        <f>Control!E34</f>
        <v>84    (Column CF)</v>
      </c>
      <c r="CH28" s="96" t="str">
        <f>Control!F34</f>
        <v>85    (Column CG)</v>
      </c>
      <c r="CI28" s="96" t="str">
        <f>Control!G34</f>
        <v>86    (Column CH)</v>
      </c>
      <c r="CJ28" s="96" t="str">
        <f>Control!H34</f>
        <v>87    (Column CI)</v>
      </c>
      <c r="CK28" s="96" t="str">
        <f>Control!I34</f>
        <v>88    (Column CJ)</v>
      </c>
      <c r="CL28" s="96" t="str">
        <f>Control!J34</f>
        <v>89    (Column CK)</v>
      </c>
      <c r="CM28" s="96" t="str">
        <f>Control!K34</f>
        <v>90    (Column CL)</v>
      </c>
      <c r="CN28" s="96" t="str">
        <f>Control!B37</f>
        <v>91    (Column CM)</v>
      </c>
      <c r="CO28" s="96" t="str">
        <f>Control!C37</f>
        <v>92    (Column CN)</v>
      </c>
      <c r="CP28" s="96" t="str">
        <f>Control!D37</f>
        <v>93    (Column CO)</v>
      </c>
      <c r="CQ28" s="96" t="str">
        <f>Control!E37</f>
        <v>94    (Column CP)</v>
      </c>
      <c r="CR28" s="96" t="str">
        <f>Control!F37</f>
        <v>95    (Column CQ)</v>
      </c>
      <c r="CS28" s="96" t="str">
        <f>Control!G37</f>
        <v>96    (Column CR)</v>
      </c>
      <c r="CT28" s="96" t="str">
        <f>Control!H37</f>
        <v>97    (Column CS)</v>
      </c>
      <c r="CU28" s="96" t="str">
        <f>Control!I37</f>
        <v>98    (Column CT)</v>
      </c>
      <c r="CV28" s="96" t="str">
        <f>Control!J37</f>
        <v>99    (Column CU)</v>
      </c>
      <c r="CW28" s="231" t="str">
        <f>Control!K37</f>
        <v>100    (Column CV)</v>
      </c>
      <c r="CX28" s="232"/>
      <c r="CY28" s="23"/>
      <c r="CZ28" s="23"/>
    </row>
    <row r="29" spans="1:104" s="1" customFormat="1" ht="50.1" customHeight="1">
      <c r="A29" s="113" t="s">
        <v>1</v>
      </c>
      <c r="B29" s="108" t="str">
        <f>IF(Control!B11="","",Control!B11)</f>
        <v>Beta1</v>
      </c>
      <c r="C29" s="28" t="str">
        <f>IF(Control!C11="","",Control!C11)</f>
        <v>Solidity</v>
      </c>
      <c r="D29" s="28" t="str">
        <f>IF(Control!D11="","",Control!D11)</f>
        <v>ID</v>
      </c>
      <c r="E29" s="28" t="str">
        <f>IF(Control!E11="","",Control!E11)</f>
        <v>LER/Chord</v>
      </c>
      <c r="F29" s="28" t="str">
        <f>IF(Control!F11="","",Control!F11)</f>
        <v>TER/Chord</v>
      </c>
      <c r="G29" s="28" t="str">
        <f>IF(Control!G11="","",Control!G11)</f>
        <v>Tmax/C</v>
      </c>
      <c r="H29" s="28" t="str">
        <f>IF(Control!H11="","",Control!H11)</f>
        <v>65_Camber</v>
      </c>
      <c r="I29" s="28" t="str">
        <f>IF(Control!I11="","",Control!I11)</f>
        <v>Dum</v>
      </c>
      <c r="J29" s="28" t="str">
        <f>IF(Control!J11="","",Control!J11)</f>
        <v>MCL B1*-AlphaChord</v>
      </c>
      <c r="K29" s="28" t="str">
        <f>IF(Control!K11="","",Control!K11)</f>
        <v>Camber_MCL</v>
      </c>
      <c r="L29" s="28" t="str">
        <f>IF(Control!B14="","",Control!B14)</f>
        <v>LE_Wedge_Angle</v>
      </c>
      <c r="M29" s="28" t="str">
        <f>IF(Control!C14="","",Control!C14)</f>
        <v>TE_Wedge_Angle</v>
      </c>
      <c r="N29" s="28" t="str">
        <f>IF(Control!D14="","",Control!D14)</f>
        <v>O_q_Tau</v>
      </c>
      <c r="O29" s="28" t="str">
        <f>IF(Control!E14="","",Control!E14)</f>
        <v>TE_O_q_Min_O</v>
      </c>
      <c r="P29" s="28" t="str">
        <f>IF(Control!F14="","",Control!F14)</f>
        <v>Attack_Angle</v>
      </c>
      <c r="Q29" s="28" t="str">
        <f>IF(Control!G14="","",Control!G14)</f>
        <v>Turning</v>
      </c>
      <c r="R29" s="28" t="str">
        <f>IF(Control!H14="","",Control!H14)</f>
        <v>Ave_Min_Loss</v>
      </c>
      <c r="S29" s="28" t="str">
        <f>IF(Control!I14="","",Control!I14)</f>
        <v/>
      </c>
      <c r="T29" s="28" t="str">
        <f>IF(Control!J14="","",Control!J14)</f>
        <v/>
      </c>
      <c r="U29" s="28" t="str">
        <f>IF(Control!K14="","",Control!K14)</f>
        <v/>
      </c>
      <c r="V29" s="28" t="str">
        <f>IF(Control!B17="","",Control!B17)</f>
        <v/>
      </c>
      <c r="W29" s="28" t="str">
        <f>IF(Control!C17="","",Control!C17)</f>
        <v/>
      </c>
      <c r="X29" s="28" t="str">
        <f>IF(Control!D17="","",Control!D17)</f>
        <v/>
      </c>
      <c r="Y29" s="28" t="str">
        <f>IF(Control!E17="","",Control!E17)</f>
        <v/>
      </c>
      <c r="Z29" s="28" t="str">
        <f>IF(Control!F17="","",Control!F17)</f>
        <v/>
      </c>
      <c r="AA29" s="28" t="str">
        <f>IF(Control!G17="","",Control!G17)</f>
        <v/>
      </c>
      <c r="AB29" s="28" t="str">
        <f>IF(Control!H17="","",Control!H17)</f>
        <v/>
      </c>
      <c r="AC29" s="28" t="str">
        <f>IF(Control!I17="","",Control!I17)</f>
        <v/>
      </c>
      <c r="AD29" s="28" t="str">
        <f>IF(Control!J17="","",Control!J17)</f>
        <v/>
      </c>
      <c r="AE29" s="28" t="str">
        <f>IF(Control!K17="","",Control!K17)</f>
        <v/>
      </c>
      <c r="AF29" s="28" t="str">
        <f>IF(Control!B20="","",Control!B20)</f>
        <v/>
      </c>
      <c r="AG29" s="28" t="str">
        <f>IF(Control!C20="","",Control!C20)</f>
        <v/>
      </c>
      <c r="AH29" s="28" t="str">
        <f>IF(Control!D20="","",Control!D20)</f>
        <v/>
      </c>
      <c r="AI29" s="28" t="str">
        <f>IF(Control!E20="","",Control!E20)</f>
        <v/>
      </c>
      <c r="AJ29" s="28" t="str">
        <f>IF(Control!F20="","",Control!F20)</f>
        <v/>
      </c>
      <c r="AK29" s="28" t="str">
        <f>IF(Control!G20="","",Control!G20)</f>
        <v/>
      </c>
      <c r="AL29" s="28" t="str">
        <f>IF(Control!H20="","",Control!H20)</f>
        <v/>
      </c>
      <c r="AM29" s="28" t="str">
        <f>IF(Control!I20="","",Control!I20)</f>
        <v/>
      </c>
      <c r="AN29" s="28" t="str">
        <f>IF(Control!J20="","",Control!J20)</f>
        <v/>
      </c>
      <c r="AO29" s="28" t="str">
        <f>IF(Control!K20="","",Control!K20)</f>
        <v/>
      </c>
      <c r="AP29" s="28" t="str">
        <f>IF(Control!B23="","",Control!B23)</f>
        <v/>
      </c>
      <c r="AQ29" s="28" t="str">
        <f>IF(Control!C23="","",Control!C23)</f>
        <v/>
      </c>
      <c r="AR29" s="28" t="str">
        <f>IF(Control!D23="","",Control!D23)</f>
        <v/>
      </c>
      <c r="AS29" s="28" t="str">
        <f>IF(Control!E23="","",Control!E23)</f>
        <v/>
      </c>
      <c r="AT29" s="28" t="str">
        <f>IF(Control!F23="","",Control!F23)</f>
        <v/>
      </c>
      <c r="AU29" s="28" t="str">
        <f>IF(Control!G23="","",Control!G23)</f>
        <v/>
      </c>
      <c r="AV29" s="28" t="str">
        <f>IF(Control!H23="","",Control!H23)</f>
        <v/>
      </c>
      <c r="AW29" s="28" t="str">
        <f>IF(Control!I23="","",Control!I23)</f>
        <v/>
      </c>
      <c r="AX29" s="28" t="str">
        <f>IF(Control!J23="","",Control!J23)</f>
        <v/>
      </c>
      <c r="AY29" s="28" t="str">
        <f>IF(Control!K23="","",Control!K23)</f>
        <v/>
      </c>
      <c r="AZ29" s="28" t="str">
        <f>IF(Control!B26="","",Control!B26)</f>
        <v/>
      </c>
      <c r="BA29" s="28" t="str">
        <f>IF(Control!C26="","",Control!C26)</f>
        <v/>
      </c>
      <c r="BB29" s="28" t="str">
        <f>IF(Control!D26="","",Control!D26)</f>
        <v/>
      </c>
      <c r="BC29" s="28" t="str">
        <f>IF(Control!E26="","",Control!E26)</f>
        <v/>
      </c>
      <c r="BD29" s="28" t="str">
        <f>IF(Control!F26="","",Control!F26)</f>
        <v/>
      </c>
      <c r="BE29" s="28" t="str">
        <f>IF(Control!G26="","",Control!G26)</f>
        <v/>
      </c>
      <c r="BF29" s="28" t="str">
        <f>IF(Control!H26="","",Control!H26)</f>
        <v/>
      </c>
      <c r="BG29" s="28" t="str">
        <f>IF(Control!I26="","",Control!I26)</f>
        <v/>
      </c>
      <c r="BH29" s="28" t="str">
        <f>IF(Control!J26="","",Control!J26)</f>
        <v/>
      </c>
      <c r="BI29" s="28" t="str">
        <f>IF(Control!K26="","",Control!K26)</f>
        <v/>
      </c>
      <c r="BJ29" s="28" t="str">
        <f>IF(Control!B29="","",Control!B29)</f>
        <v/>
      </c>
      <c r="BK29" s="28" t="str">
        <f>IF(Control!C29="","",Control!C29)</f>
        <v/>
      </c>
      <c r="BL29" s="28" t="str">
        <f>IF(Control!D29="","",Control!D29)</f>
        <v/>
      </c>
      <c r="BM29" s="28" t="str">
        <f>IF(Control!E29="","",Control!E29)</f>
        <v/>
      </c>
      <c r="BN29" s="28" t="str">
        <f>IF(Control!F29="","",Control!F29)</f>
        <v/>
      </c>
      <c r="BO29" s="28" t="str">
        <f>IF(Control!G29="","",Control!G29)</f>
        <v/>
      </c>
      <c r="BP29" s="28" t="str">
        <f>IF(Control!H29="","",Control!H29)</f>
        <v/>
      </c>
      <c r="BQ29" s="28" t="str">
        <f>IF(Control!I29="","",Control!I29)</f>
        <v/>
      </c>
      <c r="BR29" s="28" t="str">
        <f>IF(Control!J29="","",Control!J29)</f>
        <v/>
      </c>
      <c r="BS29" s="28" t="str">
        <f>IF(Control!K29="","",Control!K29)</f>
        <v/>
      </c>
      <c r="BT29" s="28" t="str">
        <f>IF(Control!B32="","",Control!B32)</f>
        <v/>
      </c>
      <c r="BU29" s="28" t="str">
        <f>IF(Control!C32="","",Control!C32)</f>
        <v/>
      </c>
      <c r="BV29" s="28" t="str">
        <f>IF(Control!D32="","",Control!D32)</f>
        <v/>
      </c>
      <c r="BW29" s="28" t="str">
        <f>IF(Control!E32="","",Control!E32)</f>
        <v/>
      </c>
      <c r="BX29" s="28" t="str">
        <f>IF(Control!F32="","",Control!F32)</f>
        <v/>
      </c>
      <c r="BY29" s="28" t="str">
        <f>IF(Control!G32="","",Control!G32)</f>
        <v/>
      </c>
      <c r="BZ29" s="28" t="str">
        <f>IF(Control!H32="","",Control!H32)</f>
        <v/>
      </c>
      <c r="CA29" s="28" t="str">
        <f>IF(Control!I32="","",Control!I32)</f>
        <v/>
      </c>
      <c r="CB29" s="28" t="str">
        <f>IF(Control!J32="","",Control!J32)</f>
        <v/>
      </c>
      <c r="CC29" s="28" t="str">
        <f>IF(Control!K32="","",Control!K32)</f>
        <v/>
      </c>
      <c r="CD29" s="28" t="str">
        <f>IF(Control!B35="","",Control!B35)</f>
        <v/>
      </c>
      <c r="CE29" s="28" t="str">
        <f>IF(Control!C35="","",Control!C35)</f>
        <v/>
      </c>
      <c r="CF29" s="28" t="str">
        <f>IF(Control!D35="","",Control!D35)</f>
        <v/>
      </c>
      <c r="CG29" s="28" t="str">
        <f>IF(Control!E35="","",Control!E35)</f>
        <v/>
      </c>
      <c r="CH29" s="28" t="str">
        <f>IF(Control!F35="","",Control!F35)</f>
        <v/>
      </c>
      <c r="CI29" s="28" t="str">
        <f>IF(Control!G35="","",Control!G35)</f>
        <v/>
      </c>
      <c r="CJ29" s="28" t="str">
        <f>IF(Control!H35="","",Control!H35)</f>
        <v/>
      </c>
      <c r="CK29" s="28" t="str">
        <f>IF(Control!I35="","",Control!I35)</f>
        <v/>
      </c>
      <c r="CL29" s="28" t="str">
        <f>IF(Control!J35="","",Control!J35)</f>
        <v/>
      </c>
      <c r="CM29" s="28" t="str">
        <f>IF(Control!K35="","",Control!K35)</f>
        <v/>
      </c>
      <c r="CN29" s="28" t="str">
        <f>IF(Control!B38="","",Control!B38)</f>
        <v/>
      </c>
      <c r="CO29" s="28" t="str">
        <f>IF(Control!C38="","",Control!C38)</f>
        <v/>
      </c>
      <c r="CP29" s="28" t="str">
        <f>IF(Control!D38="","",Control!D38)</f>
        <v/>
      </c>
      <c r="CQ29" s="28" t="str">
        <f>IF(Control!E38="","",Control!E38)</f>
        <v/>
      </c>
      <c r="CR29" s="28" t="str">
        <f>IF(Control!F38="","",Control!F38)</f>
        <v/>
      </c>
      <c r="CS29" s="28" t="str">
        <f>IF(Control!G38="","",Control!G38)</f>
        <v/>
      </c>
      <c r="CT29" s="28" t="str">
        <f>IF(Control!H38="","",Control!H38)</f>
        <v/>
      </c>
      <c r="CU29" s="28" t="str">
        <f>IF(Control!I38="","",Control!I38)</f>
        <v/>
      </c>
      <c r="CV29" s="28" t="str">
        <f>IF(Control!J38="","",Control!J38)</f>
        <v/>
      </c>
      <c r="CW29" s="100" t="str">
        <f>IF(Control!K38="","",Control!K38)</f>
        <v/>
      </c>
      <c r="CX29" s="22"/>
      <c r="CY29" s="22"/>
      <c r="CZ29" s="22"/>
    </row>
    <row r="30" spans="1:104" ht="50.1" customHeight="1">
      <c r="A30" s="218" t="s">
        <v>33</v>
      </c>
      <c r="B30" s="109"/>
      <c r="C30" s="87"/>
      <c r="D30" s="87"/>
      <c r="E30" s="87"/>
      <c r="F30" s="87"/>
      <c r="G30" s="87"/>
      <c r="H30" s="87"/>
      <c r="I30" s="87"/>
      <c r="J30" s="87"/>
      <c r="K30" s="8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c r="AL30" s="237"/>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c r="CT30" s="238"/>
      <c r="CU30" s="238"/>
      <c r="CV30" s="238"/>
      <c r="CW30" s="239"/>
      <c r="CX30" s="23"/>
      <c r="CY30" s="23"/>
      <c r="CZ30" s="23"/>
    </row>
    <row r="31" spans="1:104" s="1" customFormat="1" ht="50.1" customHeight="1">
      <c r="A31" s="219" t="s">
        <v>34</v>
      </c>
      <c r="B31" s="108" t="str">
        <f>IF(B30="",B29,IF(B30=" ",B29,B30))</f>
        <v>Beta1</v>
      </c>
      <c r="C31" s="28" t="str">
        <f t="shared" ref="C31:BN31" si="1">IF(C30="",C29,IF(C30=" ",C29,C30))</f>
        <v>Solidity</v>
      </c>
      <c r="D31" s="28" t="str">
        <f t="shared" si="1"/>
        <v>ID</v>
      </c>
      <c r="E31" s="28" t="str">
        <f t="shared" si="1"/>
        <v>LER/Chord</v>
      </c>
      <c r="F31" s="28" t="str">
        <f t="shared" si="1"/>
        <v>TER/Chord</v>
      </c>
      <c r="G31" s="28" t="str">
        <f t="shared" si="1"/>
        <v>Tmax/C</v>
      </c>
      <c r="H31" s="28" t="str">
        <f t="shared" si="1"/>
        <v>65_Camber</v>
      </c>
      <c r="I31" s="28" t="str">
        <f t="shared" si="1"/>
        <v>Dum</v>
      </c>
      <c r="J31" s="28" t="str">
        <f t="shared" si="1"/>
        <v>MCL B1*-AlphaChord</v>
      </c>
      <c r="K31" s="28" t="str">
        <f t="shared" si="1"/>
        <v>Camber_MCL</v>
      </c>
      <c r="L31" s="28" t="str">
        <f t="shared" si="1"/>
        <v>LE_Wedge_Angle</v>
      </c>
      <c r="M31" s="28" t="str">
        <f t="shared" si="1"/>
        <v>TE_Wedge_Angle</v>
      </c>
      <c r="N31" s="28" t="str">
        <f t="shared" si="1"/>
        <v>O_q_Tau</v>
      </c>
      <c r="O31" s="28" t="str">
        <f t="shared" si="1"/>
        <v>TE_O_q_Min_O</v>
      </c>
      <c r="P31" s="28" t="str">
        <f t="shared" si="1"/>
        <v>Attack_Angle</v>
      </c>
      <c r="Q31" s="28" t="str">
        <f t="shared" si="1"/>
        <v>Turning</v>
      </c>
      <c r="R31" s="28" t="str">
        <f t="shared" si="1"/>
        <v>Ave_Min_Loss</v>
      </c>
      <c r="S31" s="28" t="str">
        <f t="shared" si="1"/>
        <v/>
      </c>
      <c r="T31" s="28" t="str">
        <f t="shared" si="1"/>
        <v/>
      </c>
      <c r="U31" s="28" t="str">
        <f t="shared" si="1"/>
        <v/>
      </c>
      <c r="V31" s="28" t="str">
        <f t="shared" si="1"/>
        <v/>
      </c>
      <c r="W31" s="28" t="str">
        <f t="shared" si="1"/>
        <v/>
      </c>
      <c r="X31" s="28" t="str">
        <f t="shared" si="1"/>
        <v/>
      </c>
      <c r="Y31" s="28" t="str">
        <f t="shared" si="1"/>
        <v/>
      </c>
      <c r="Z31" s="28" t="str">
        <f t="shared" si="1"/>
        <v/>
      </c>
      <c r="AA31" s="28" t="str">
        <f t="shared" si="1"/>
        <v/>
      </c>
      <c r="AB31" s="28" t="str">
        <f t="shared" si="1"/>
        <v/>
      </c>
      <c r="AC31" s="28" t="str">
        <f t="shared" si="1"/>
        <v/>
      </c>
      <c r="AD31" s="28" t="str">
        <f t="shared" si="1"/>
        <v/>
      </c>
      <c r="AE31" s="28" t="str">
        <f t="shared" si="1"/>
        <v/>
      </c>
      <c r="AF31" s="28" t="str">
        <f t="shared" si="1"/>
        <v/>
      </c>
      <c r="AG31" s="28" t="str">
        <f t="shared" si="1"/>
        <v/>
      </c>
      <c r="AH31" s="28" t="str">
        <f t="shared" si="1"/>
        <v/>
      </c>
      <c r="AI31" s="28" t="str">
        <f t="shared" si="1"/>
        <v/>
      </c>
      <c r="AJ31" s="28" t="str">
        <f t="shared" si="1"/>
        <v/>
      </c>
      <c r="AK31" s="28" t="str">
        <f t="shared" si="1"/>
        <v/>
      </c>
      <c r="AL31" s="28" t="str">
        <f t="shared" si="1"/>
        <v/>
      </c>
      <c r="AM31" s="28" t="str">
        <f t="shared" si="1"/>
        <v/>
      </c>
      <c r="AN31" s="28" t="str">
        <f t="shared" si="1"/>
        <v/>
      </c>
      <c r="AO31" s="28" t="str">
        <f t="shared" si="1"/>
        <v/>
      </c>
      <c r="AP31" s="28" t="str">
        <f t="shared" si="1"/>
        <v/>
      </c>
      <c r="AQ31" s="28" t="str">
        <f t="shared" si="1"/>
        <v/>
      </c>
      <c r="AR31" s="28" t="str">
        <f t="shared" si="1"/>
        <v/>
      </c>
      <c r="AS31" s="28" t="str">
        <f t="shared" si="1"/>
        <v/>
      </c>
      <c r="AT31" s="28" t="str">
        <f t="shared" si="1"/>
        <v/>
      </c>
      <c r="AU31" s="28" t="str">
        <f t="shared" si="1"/>
        <v/>
      </c>
      <c r="AV31" s="28" t="str">
        <f t="shared" si="1"/>
        <v/>
      </c>
      <c r="AW31" s="28" t="str">
        <f t="shared" si="1"/>
        <v/>
      </c>
      <c r="AX31" s="28" t="str">
        <f t="shared" si="1"/>
        <v/>
      </c>
      <c r="AY31" s="28" t="str">
        <f t="shared" si="1"/>
        <v/>
      </c>
      <c r="AZ31" s="28" t="str">
        <f t="shared" si="1"/>
        <v/>
      </c>
      <c r="BA31" s="28" t="str">
        <f t="shared" si="1"/>
        <v/>
      </c>
      <c r="BB31" s="28" t="str">
        <f t="shared" si="1"/>
        <v/>
      </c>
      <c r="BC31" s="28" t="str">
        <f t="shared" si="1"/>
        <v/>
      </c>
      <c r="BD31" s="28" t="str">
        <f t="shared" si="1"/>
        <v/>
      </c>
      <c r="BE31" s="28" t="str">
        <f t="shared" si="1"/>
        <v/>
      </c>
      <c r="BF31" s="28" t="str">
        <f t="shared" si="1"/>
        <v/>
      </c>
      <c r="BG31" s="28" t="str">
        <f t="shared" si="1"/>
        <v/>
      </c>
      <c r="BH31" s="28" t="str">
        <f t="shared" si="1"/>
        <v/>
      </c>
      <c r="BI31" s="28" t="str">
        <f t="shared" si="1"/>
        <v/>
      </c>
      <c r="BJ31" s="28" t="str">
        <f t="shared" si="1"/>
        <v/>
      </c>
      <c r="BK31" s="28" t="str">
        <f t="shared" si="1"/>
        <v/>
      </c>
      <c r="BL31" s="28" t="str">
        <f t="shared" si="1"/>
        <v/>
      </c>
      <c r="BM31" s="28" t="str">
        <f t="shared" si="1"/>
        <v/>
      </c>
      <c r="BN31" s="28" t="str">
        <f t="shared" si="1"/>
        <v/>
      </c>
      <c r="BO31" s="28" t="str">
        <f t="shared" ref="BO31:CW31" si="2">IF(BO30="",BO29,IF(BO30=" ",BO29,BO30))</f>
        <v/>
      </c>
      <c r="BP31" s="28" t="str">
        <f t="shared" si="2"/>
        <v/>
      </c>
      <c r="BQ31" s="28" t="str">
        <f t="shared" si="2"/>
        <v/>
      </c>
      <c r="BR31" s="28" t="str">
        <f t="shared" si="2"/>
        <v/>
      </c>
      <c r="BS31" s="28" t="str">
        <f t="shared" si="2"/>
        <v/>
      </c>
      <c r="BT31" s="28" t="str">
        <f t="shared" si="2"/>
        <v/>
      </c>
      <c r="BU31" s="28" t="str">
        <f t="shared" si="2"/>
        <v/>
      </c>
      <c r="BV31" s="28" t="str">
        <f t="shared" si="2"/>
        <v/>
      </c>
      <c r="BW31" s="28" t="str">
        <f t="shared" si="2"/>
        <v/>
      </c>
      <c r="BX31" s="28" t="str">
        <f t="shared" si="2"/>
        <v/>
      </c>
      <c r="BY31" s="28" t="str">
        <f t="shared" si="2"/>
        <v/>
      </c>
      <c r="BZ31" s="28" t="str">
        <f t="shared" si="2"/>
        <v/>
      </c>
      <c r="CA31" s="28" t="str">
        <f t="shared" si="2"/>
        <v/>
      </c>
      <c r="CB31" s="28" t="str">
        <f t="shared" si="2"/>
        <v/>
      </c>
      <c r="CC31" s="28" t="str">
        <f t="shared" si="2"/>
        <v/>
      </c>
      <c r="CD31" s="28" t="str">
        <f t="shared" si="2"/>
        <v/>
      </c>
      <c r="CE31" s="28" t="str">
        <f t="shared" si="2"/>
        <v/>
      </c>
      <c r="CF31" s="28" t="str">
        <f t="shared" si="2"/>
        <v/>
      </c>
      <c r="CG31" s="28" t="str">
        <f t="shared" si="2"/>
        <v/>
      </c>
      <c r="CH31" s="28" t="str">
        <f t="shared" si="2"/>
        <v/>
      </c>
      <c r="CI31" s="28" t="str">
        <f t="shared" si="2"/>
        <v/>
      </c>
      <c r="CJ31" s="28" t="str">
        <f t="shared" si="2"/>
        <v/>
      </c>
      <c r="CK31" s="28" t="str">
        <f t="shared" si="2"/>
        <v/>
      </c>
      <c r="CL31" s="28" t="str">
        <f t="shared" si="2"/>
        <v/>
      </c>
      <c r="CM31" s="28" t="str">
        <f t="shared" si="2"/>
        <v/>
      </c>
      <c r="CN31" s="28" t="str">
        <f t="shared" si="2"/>
        <v/>
      </c>
      <c r="CO31" s="28" t="str">
        <f t="shared" si="2"/>
        <v/>
      </c>
      <c r="CP31" s="28" t="str">
        <f t="shared" si="2"/>
        <v/>
      </c>
      <c r="CQ31" s="28" t="str">
        <f t="shared" si="2"/>
        <v/>
      </c>
      <c r="CR31" s="28" t="str">
        <f t="shared" si="2"/>
        <v/>
      </c>
      <c r="CS31" s="28" t="str">
        <f t="shared" si="2"/>
        <v/>
      </c>
      <c r="CT31" s="28" t="str">
        <f t="shared" si="2"/>
        <v/>
      </c>
      <c r="CU31" s="28" t="str">
        <f t="shared" si="2"/>
        <v/>
      </c>
      <c r="CV31" s="28" t="str">
        <f t="shared" si="2"/>
        <v/>
      </c>
      <c r="CW31" s="100" t="str">
        <f t="shared" si="2"/>
        <v/>
      </c>
      <c r="CX31" s="22"/>
      <c r="CY31" s="22"/>
      <c r="CZ31" s="22"/>
    </row>
    <row r="32" spans="1:104" ht="20.100000000000001" customHeight="1">
      <c r="A32" s="220" t="s">
        <v>41</v>
      </c>
      <c r="B32" s="110">
        <v>0</v>
      </c>
      <c r="C32" s="85">
        <v>0</v>
      </c>
      <c r="D32" s="85"/>
      <c r="E32" s="85">
        <v>0</v>
      </c>
      <c r="F32" s="110">
        <v>0</v>
      </c>
      <c r="G32" s="85">
        <v>0.04</v>
      </c>
      <c r="H32" s="85">
        <v>0</v>
      </c>
      <c r="I32" s="85"/>
      <c r="J32" s="110"/>
      <c r="K32" s="85">
        <v>0</v>
      </c>
      <c r="L32" s="85">
        <v>10</v>
      </c>
      <c r="M32" s="85">
        <v>0</v>
      </c>
      <c r="N32" s="128">
        <v>0.3</v>
      </c>
      <c r="O32" s="128">
        <v>1</v>
      </c>
      <c r="P32" s="128">
        <v>5</v>
      </c>
      <c r="Q32" s="128"/>
      <c r="R32" s="128">
        <v>0</v>
      </c>
      <c r="S32" s="128"/>
      <c r="T32" s="128">
        <v>-10</v>
      </c>
      <c r="U32" s="128"/>
      <c r="V32" s="128"/>
      <c r="W32" s="128"/>
      <c r="X32" s="128"/>
      <c r="Y32" s="128"/>
      <c r="Z32" s="128"/>
      <c r="AA32" s="128"/>
      <c r="AB32" s="128"/>
      <c r="AC32" s="128"/>
      <c r="AD32" s="128">
        <v>-10</v>
      </c>
      <c r="AE32" s="128">
        <v>-25</v>
      </c>
      <c r="AF32" s="128">
        <v>5</v>
      </c>
      <c r="AG32" s="128"/>
      <c r="AH32" s="128"/>
      <c r="AI32" s="128"/>
      <c r="AJ32" s="128"/>
      <c r="AK32" s="128">
        <v>0</v>
      </c>
      <c r="AL32" s="128">
        <v>0</v>
      </c>
      <c r="AM32" s="129">
        <v>0</v>
      </c>
      <c r="AN32" s="129">
        <v>0</v>
      </c>
      <c r="AO32" s="129"/>
      <c r="AP32" s="129"/>
      <c r="AQ32" s="129"/>
      <c r="AR32" s="129">
        <v>0.3</v>
      </c>
      <c r="AS32" s="129">
        <v>0.3</v>
      </c>
      <c r="AT32" s="129">
        <v>0.3</v>
      </c>
      <c r="AU32" s="129">
        <v>0.3</v>
      </c>
      <c r="AV32" s="129">
        <v>0</v>
      </c>
      <c r="AW32" s="129">
        <v>0</v>
      </c>
      <c r="AX32" s="129">
        <v>0</v>
      </c>
      <c r="AY32" s="129">
        <v>0</v>
      </c>
      <c r="AZ32" s="129">
        <v>0.1</v>
      </c>
      <c r="BA32" s="129">
        <v>0.2</v>
      </c>
      <c r="BB32" s="129">
        <v>0</v>
      </c>
      <c r="BC32" s="129">
        <v>0</v>
      </c>
      <c r="BD32" s="129"/>
      <c r="BE32" s="129">
        <v>0</v>
      </c>
      <c r="BF32" s="129">
        <v>-0.1</v>
      </c>
      <c r="BG32" s="129">
        <v>0</v>
      </c>
      <c r="BH32" s="129">
        <v>0</v>
      </c>
      <c r="BI32" s="129"/>
      <c r="BJ32" s="129">
        <v>-25</v>
      </c>
      <c r="BK32" s="129">
        <v>-8</v>
      </c>
      <c r="BL32" s="129"/>
      <c r="BM32" s="129">
        <v>0</v>
      </c>
      <c r="BN32" s="129"/>
      <c r="BO32" s="129"/>
      <c r="BP32" s="129"/>
      <c r="BQ32" s="129">
        <v>-10</v>
      </c>
      <c r="BR32" s="129"/>
      <c r="BS32" s="129"/>
      <c r="BT32" s="129"/>
      <c r="BU32" s="129"/>
      <c r="BV32" s="129">
        <v>0.03</v>
      </c>
      <c r="BW32" s="129">
        <v>0</v>
      </c>
      <c r="BX32" s="129"/>
      <c r="BY32" s="129">
        <v>5</v>
      </c>
      <c r="BZ32" s="129"/>
      <c r="CA32" s="129">
        <v>-15</v>
      </c>
      <c r="CB32" s="129"/>
      <c r="CC32" s="129"/>
      <c r="CD32" s="129"/>
      <c r="CE32" s="129">
        <v>0.3</v>
      </c>
      <c r="CF32" s="129">
        <v>0</v>
      </c>
      <c r="CG32" s="129"/>
      <c r="CH32" s="129">
        <v>0.5</v>
      </c>
      <c r="CI32" s="129"/>
      <c r="CJ32" s="129">
        <v>0</v>
      </c>
      <c r="CK32" s="129">
        <v>0.8</v>
      </c>
      <c r="CL32" s="129">
        <v>0</v>
      </c>
      <c r="CM32" s="129">
        <v>0</v>
      </c>
      <c r="CN32" s="129"/>
      <c r="CO32" s="129">
        <v>-1</v>
      </c>
      <c r="CP32" s="129"/>
      <c r="CQ32" s="129">
        <v>5</v>
      </c>
      <c r="CR32" s="129">
        <v>-8</v>
      </c>
      <c r="CS32" s="129">
        <v>0</v>
      </c>
      <c r="CT32" s="129"/>
      <c r="CU32" s="129">
        <v>0.3</v>
      </c>
      <c r="CV32" s="129">
        <v>0</v>
      </c>
      <c r="CW32" s="130"/>
      <c r="CX32" s="23"/>
      <c r="CY32" s="23"/>
      <c r="CZ32" s="23"/>
    </row>
    <row r="33" spans="1:104" s="1" customFormat="1" ht="20.100000000000001" customHeight="1">
      <c r="A33" s="219" t="s">
        <v>42</v>
      </c>
      <c r="B33" s="109">
        <v>70</v>
      </c>
      <c r="C33" s="87">
        <v>2.2000000000000002</v>
      </c>
      <c r="D33" s="87"/>
      <c r="E33" s="87">
        <v>1.6E-2</v>
      </c>
      <c r="F33" s="109">
        <v>0.02</v>
      </c>
      <c r="G33" s="87">
        <v>0.16</v>
      </c>
      <c r="H33" s="87">
        <v>24</v>
      </c>
      <c r="I33" s="87"/>
      <c r="J33" s="109"/>
      <c r="K33" s="87">
        <v>60</v>
      </c>
      <c r="L33" s="87">
        <v>40</v>
      </c>
      <c r="M33" s="87">
        <v>25</v>
      </c>
      <c r="N33" s="131" t="s">
        <v>436</v>
      </c>
      <c r="O33" s="131" t="s">
        <v>485</v>
      </c>
      <c r="P33" s="131" t="s">
        <v>435</v>
      </c>
      <c r="Q33" s="131"/>
      <c r="R33" s="131" t="s">
        <v>486</v>
      </c>
      <c r="S33" s="131"/>
      <c r="T33" s="131" t="s">
        <v>570</v>
      </c>
      <c r="U33" s="131"/>
      <c r="V33" s="131"/>
      <c r="W33" s="131"/>
      <c r="X33" s="131"/>
      <c r="Y33" s="131"/>
      <c r="Z33" s="131"/>
      <c r="AA33" s="131"/>
      <c r="AB33" s="131"/>
      <c r="AC33" s="131"/>
      <c r="AD33" s="131" t="s">
        <v>434</v>
      </c>
      <c r="AE33" s="131" t="s">
        <v>600</v>
      </c>
      <c r="AF33" s="131" t="s">
        <v>522</v>
      </c>
      <c r="AG33" s="131"/>
      <c r="AH33" s="131"/>
      <c r="AI33" s="131"/>
      <c r="AJ33" s="131"/>
      <c r="AK33" s="131" t="s">
        <v>436</v>
      </c>
      <c r="AL33" s="131" t="s">
        <v>436</v>
      </c>
      <c r="AM33" s="131" t="s">
        <v>537</v>
      </c>
      <c r="AN33" s="131" t="s">
        <v>437</v>
      </c>
      <c r="AO33" s="131"/>
      <c r="AP33" s="131"/>
      <c r="AQ33" s="131"/>
      <c r="AR33" s="131" t="s">
        <v>436</v>
      </c>
      <c r="AS33" s="131" t="s">
        <v>436</v>
      </c>
      <c r="AT33" s="131" t="s">
        <v>436</v>
      </c>
      <c r="AU33" s="131" t="s">
        <v>436</v>
      </c>
      <c r="AV33" s="131" t="s">
        <v>436</v>
      </c>
      <c r="AW33" s="131" t="s">
        <v>436</v>
      </c>
      <c r="AX33" s="131" t="s">
        <v>436</v>
      </c>
      <c r="AY33" s="131" t="s">
        <v>436</v>
      </c>
      <c r="AZ33" s="131" t="s">
        <v>518</v>
      </c>
      <c r="BA33" s="131" t="s">
        <v>519</v>
      </c>
      <c r="BB33" s="131" t="s">
        <v>520</v>
      </c>
      <c r="BC33" s="131" t="s">
        <v>436</v>
      </c>
      <c r="BD33" s="131"/>
      <c r="BE33" s="131" t="s">
        <v>436</v>
      </c>
      <c r="BF33" s="131" t="s">
        <v>504</v>
      </c>
      <c r="BG33" s="131" t="s">
        <v>436</v>
      </c>
      <c r="BH33" s="131" t="s">
        <v>436</v>
      </c>
      <c r="BI33" s="131"/>
      <c r="BJ33" s="131" t="s">
        <v>600</v>
      </c>
      <c r="BK33" s="131" t="s">
        <v>544</v>
      </c>
      <c r="BL33" s="131"/>
      <c r="BM33" s="131" t="s">
        <v>583</v>
      </c>
      <c r="BN33" s="131"/>
      <c r="BO33" s="131"/>
      <c r="BP33" s="131"/>
      <c r="BQ33" s="131" t="s">
        <v>521</v>
      </c>
      <c r="BR33" s="131"/>
      <c r="BS33" s="131"/>
      <c r="BT33" s="131"/>
      <c r="BU33" s="131"/>
      <c r="BV33" s="131" t="s">
        <v>514</v>
      </c>
      <c r="BW33" s="131" t="s">
        <v>513</v>
      </c>
      <c r="BX33" s="131"/>
      <c r="BY33" s="131" t="s">
        <v>435</v>
      </c>
      <c r="BZ33" s="131"/>
      <c r="CA33" s="131" t="s">
        <v>524</v>
      </c>
      <c r="CB33" s="131"/>
      <c r="CC33" s="131"/>
      <c r="CD33" s="131"/>
      <c r="CE33" s="131" t="s">
        <v>436</v>
      </c>
      <c r="CF33" s="131" t="s">
        <v>575</v>
      </c>
      <c r="CG33" s="131"/>
      <c r="CH33" s="131" t="s">
        <v>562</v>
      </c>
      <c r="CI33" s="131"/>
      <c r="CJ33" s="131" t="s">
        <v>542</v>
      </c>
      <c r="CK33" s="131" t="s">
        <v>543</v>
      </c>
      <c r="CL33" s="131" t="s">
        <v>540</v>
      </c>
      <c r="CM33" s="131" t="s">
        <v>520</v>
      </c>
      <c r="CN33" s="131"/>
      <c r="CO33" s="131" t="s">
        <v>517</v>
      </c>
      <c r="CP33" s="131"/>
      <c r="CQ33" s="131" t="s">
        <v>435</v>
      </c>
      <c r="CR33" s="131" t="s">
        <v>544</v>
      </c>
      <c r="CS33" s="131" t="s">
        <v>517</v>
      </c>
      <c r="CT33" s="131"/>
      <c r="CU33" s="131" t="s">
        <v>518</v>
      </c>
      <c r="CV33" s="131" t="s">
        <v>541</v>
      </c>
      <c r="CW33" s="132"/>
      <c r="CX33" s="22"/>
      <c r="CY33" s="22"/>
      <c r="CZ33" s="22"/>
    </row>
    <row r="34" spans="1:104" ht="20.100000000000001" customHeight="1">
      <c r="A34" s="220" t="s">
        <v>36</v>
      </c>
      <c r="B34" s="108">
        <f>IF(B32="","auto",IF(B32=" ","auto",B32))</f>
        <v>0</v>
      </c>
      <c r="C34" s="108">
        <f t="shared" ref="C34:AZ34" si="3">IF(C32="","auto",IF(C32=" ","auto",C32))</f>
        <v>0</v>
      </c>
      <c r="D34" s="108" t="str">
        <f t="shared" si="3"/>
        <v>auto</v>
      </c>
      <c r="E34" s="108">
        <f t="shared" si="3"/>
        <v>0</v>
      </c>
      <c r="F34" s="108">
        <f t="shared" si="3"/>
        <v>0</v>
      </c>
      <c r="G34" s="108">
        <f t="shared" si="3"/>
        <v>0.04</v>
      </c>
      <c r="H34" s="108">
        <f t="shared" si="3"/>
        <v>0</v>
      </c>
      <c r="I34" s="108" t="str">
        <f t="shared" si="3"/>
        <v>auto</v>
      </c>
      <c r="J34" s="108" t="str">
        <f t="shared" si="3"/>
        <v>auto</v>
      </c>
      <c r="K34" s="108">
        <f t="shared" si="3"/>
        <v>0</v>
      </c>
      <c r="L34" s="108">
        <f t="shared" si="3"/>
        <v>10</v>
      </c>
      <c r="M34" s="108">
        <f t="shared" si="3"/>
        <v>0</v>
      </c>
      <c r="N34" s="108">
        <f t="shared" si="3"/>
        <v>0.3</v>
      </c>
      <c r="O34" s="108">
        <f t="shared" si="3"/>
        <v>1</v>
      </c>
      <c r="P34" s="108">
        <f t="shared" si="3"/>
        <v>5</v>
      </c>
      <c r="Q34" s="108" t="str">
        <f t="shared" si="3"/>
        <v>auto</v>
      </c>
      <c r="R34" s="108">
        <f t="shared" si="3"/>
        <v>0</v>
      </c>
      <c r="S34" s="108" t="str">
        <f t="shared" si="3"/>
        <v>auto</v>
      </c>
      <c r="T34" s="108">
        <f t="shared" si="3"/>
        <v>-10</v>
      </c>
      <c r="U34" s="108" t="str">
        <f t="shared" si="3"/>
        <v>auto</v>
      </c>
      <c r="V34" s="108" t="str">
        <f t="shared" si="3"/>
        <v>auto</v>
      </c>
      <c r="W34" s="108" t="str">
        <f t="shared" si="3"/>
        <v>auto</v>
      </c>
      <c r="X34" s="108" t="str">
        <f t="shared" si="3"/>
        <v>auto</v>
      </c>
      <c r="Y34" s="108" t="str">
        <f t="shared" si="3"/>
        <v>auto</v>
      </c>
      <c r="Z34" s="108" t="str">
        <f t="shared" si="3"/>
        <v>auto</v>
      </c>
      <c r="AA34" s="108" t="str">
        <f t="shared" si="3"/>
        <v>auto</v>
      </c>
      <c r="AB34" s="108" t="str">
        <f t="shared" si="3"/>
        <v>auto</v>
      </c>
      <c r="AC34" s="108" t="str">
        <f t="shared" si="3"/>
        <v>auto</v>
      </c>
      <c r="AD34" s="108">
        <f t="shared" si="3"/>
        <v>-10</v>
      </c>
      <c r="AE34" s="108">
        <f t="shared" si="3"/>
        <v>-25</v>
      </c>
      <c r="AF34" s="108">
        <f t="shared" si="3"/>
        <v>5</v>
      </c>
      <c r="AG34" s="108" t="str">
        <f t="shared" si="3"/>
        <v>auto</v>
      </c>
      <c r="AH34" s="108" t="str">
        <f t="shared" si="3"/>
        <v>auto</v>
      </c>
      <c r="AI34" s="108" t="str">
        <f t="shared" si="3"/>
        <v>auto</v>
      </c>
      <c r="AJ34" s="108" t="str">
        <f t="shared" si="3"/>
        <v>auto</v>
      </c>
      <c r="AK34" s="108">
        <f t="shared" si="3"/>
        <v>0</v>
      </c>
      <c r="AL34" s="108">
        <f t="shared" si="3"/>
        <v>0</v>
      </c>
      <c r="AM34" s="108">
        <f t="shared" si="3"/>
        <v>0</v>
      </c>
      <c r="AN34" s="108">
        <f t="shared" si="3"/>
        <v>0</v>
      </c>
      <c r="AO34" s="108" t="str">
        <f t="shared" si="3"/>
        <v>auto</v>
      </c>
      <c r="AP34" s="108" t="str">
        <f t="shared" si="3"/>
        <v>auto</v>
      </c>
      <c r="AQ34" s="108" t="str">
        <f t="shared" si="3"/>
        <v>auto</v>
      </c>
      <c r="AR34" s="108">
        <f t="shared" si="3"/>
        <v>0.3</v>
      </c>
      <c r="AS34" s="108">
        <f t="shared" si="3"/>
        <v>0.3</v>
      </c>
      <c r="AT34" s="108">
        <f t="shared" si="3"/>
        <v>0.3</v>
      </c>
      <c r="AU34" s="108">
        <f t="shared" si="3"/>
        <v>0.3</v>
      </c>
      <c r="AV34" s="108">
        <f t="shared" si="3"/>
        <v>0</v>
      </c>
      <c r="AW34" s="108">
        <f t="shared" si="3"/>
        <v>0</v>
      </c>
      <c r="AX34" s="108">
        <f t="shared" si="3"/>
        <v>0</v>
      </c>
      <c r="AY34" s="108">
        <f t="shared" si="3"/>
        <v>0</v>
      </c>
      <c r="AZ34" s="108">
        <f t="shared" si="3"/>
        <v>0.1</v>
      </c>
      <c r="BA34" s="28">
        <f t="shared" ref="BA34:BN34" si="4">IF(BA32="","auto",IF(BA32=" ","auto",BA32))</f>
        <v>0.2</v>
      </c>
      <c r="BB34" s="28">
        <f t="shared" si="4"/>
        <v>0</v>
      </c>
      <c r="BC34" s="28">
        <f t="shared" si="4"/>
        <v>0</v>
      </c>
      <c r="BD34" s="28" t="str">
        <f t="shared" si="4"/>
        <v>auto</v>
      </c>
      <c r="BE34" s="28">
        <f t="shared" si="4"/>
        <v>0</v>
      </c>
      <c r="BF34" s="28">
        <f t="shared" si="4"/>
        <v>-0.1</v>
      </c>
      <c r="BG34" s="28">
        <f t="shared" si="4"/>
        <v>0</v>
      </c>
      <c r="BH34" s="28">
        <f t="shared" si="4"/>
        <v>0</v>
      </c>
      <c r="BI34" s="28" t="str">
        <f t="shared" si="4"/>
        <v>auto</v>
      </c>
      <c r="BJ34" s="28">
        <f t="shared" si="4"/>
        <v>-25</v>
      </c>
      <c r="BK34" s="28">
        <f t="shared" si="4"/>
        <v>-8</v>
      </c>
      <c r="BL34" s="28" t="str">
        <f t="shared" si="4"/>
        <v>auto</v>
      </c>
      <c r="BM34" s="28">
        <f t="shared" si="4"/>
        <v>0</v>
      </c>
      <c r="BN34" s="28" t="str">
        <f t="shared" si="4"/>
        <v>auto</v>
      </c>
      <c r="BO34" s="28" t="str">
        <f t="shared" ref="BO34:CW34" si="5">IF(BO32="","auto",IF(BO32=" ","auto",BO32))</f>
        <v>auto</v>
      </c>
      <c r="BP34" s="28" t="str">
        <f t="shared" si="5"/>
        <v>auto</v>
      </c>
      <c r="BQ34" s="28">
        <f t="shared" si="5"/>
        <v>-10</v>
      </c>
      <c r="BR34" s="28" t="str">
        <f t="shared" si="5"/>
        <v>auto</v>
      </c>
      <c r="BS34" s="28" t="str">
        <f t="shared" si="5"/>
        <v>auto</v>
      </c>
      <c r="BT34" s="28" t="str">
        <f t="shared" si="5"/>
        <v>auto</v>
      </c>
      <c r="BU34" s="28" t="str">
        <f t="shared" si="5"/>
        <v>auto</v>
      </c>
      <c r="BV34" s="28">
        <f t="shared" si="5"/>
        <v>0.03</v>
      </c>
      <c r="BW34" s="28">
        <f t="shared" si="5"/>
        <v>0</v>
      </c>
      <c r="BX34" s="28" t="str">
        <f t="shared" si="5"/>
        <v>auto</v>
      </c>
      <c r="BY34" s="28">
        <f t="shared" si="5"/>
        <v>5</v>
      </c>
      <c r="BZ34" s="28" t="str">
        <f t="shared" si="5"/>
        <v>auto</v>
      </c>
      <c r="CA34" s="28">
        <f t="shared" si="5"/>
        <v>-15</v>
      </c>
      <c r="CB34" s="28" t="str">
        <f t="shared" si="5"/>
        <v>auto</v>
      </c>
      <c r="CC34" s="28" t="str">
        <f t="shared" si="5"/>
        <v>auto</v>
      </c>
      <c r="CD34" s="28" t="str">
        <f t="shared" si="5"/>
        <v>auto</v>
      </c>
      <c r="CE34" s="28">
        <f t="shared" si="5"/>
        <v>0.3</v>
      </c>
      <c r="CF34" s="28">
        <f t="shared" si="5"/>
        <v>0</v>
      </c>
      <c r="CG34" s="28" t="str">
        <f t="shared" si="5"/>
        <v>auto</v>
      </c>
      <c r="CH34" s="28">
        <f t="shared" si="5"/>
        <v>0.5</v>
      </c>
      <c r="CI34" s="28" t="str">
        <f t="shared" si="5"/>
        <v>auto</v>
      </c>
      <c r="CJ34" s="28">
        <f t="shared" si="5"/>
        <v>0</v>
      </c>
      <c r="CK34" s="28">
        <f t="shared" si="5"/>
        <v>0.8</v>
      </c>
      <c r="CL34" s="28">
        <f t="shared" si="5"/>
        <v>0</v>
      </c>
      <c r="CM34" s="28">
        <f t="shared" si="5"/>
        <v>0</v>
      </c>
      <c r="CN34" s="28" t="str">
        <f t="shared" si="5"/>
        <v>auto</v>
      </c>
      <c r="CO34" s="28">
        <f t="shared" si="5"/>
        <v>-1</v>
      </c>
      <c r="CP34" s="28" t="str">
        <f t="shared" si="5"/>
        <v>auto</v>
      </c>
      <c r="CQ34" s="28">
        <f t="shared" si="5"/>
        <v>5</v>
      </c>
      <c r="CR34" s="28">
        <f t="shared" si="5"/>
        <v>-8</v>
      </c>
      <c r="CS34" s="28">
        <f t="shared" si="5"/>
        <v>0</v>
      </c>
      <c r="CT34" s="28" t="str">
        <f t="shared" si="5"/>
        <v>auto</v>
      </c>
      <c r="CU34" s="28">
        <f t="shared" si="5"/>
        <v>0.3</v>
      </c>
      <c r="CV34" s="28">
        <f t="shared" si="5"/>
        <v>0</v>
      </c>
      <c r="CW34" s="100" t="str">
        <f t="shared" si="5"/>
        <v>auto</v>
      </c>
      <c r="CX34" s="23"/>
      <c r="CY34" s="23"/>
      <c r="CZ34" s="23"/>
    </row>
    <row r="35" spans="1:104" s="1" customFormat="1" ht="20.100000000000001" customHeight="1" thickBot="1">
      <c r="A35" s="221" t="s">
        <v>37</v>
      </c>
      <c r="B35" s="111">
        <f>IF(B33="","auto",IF(B33=" ","auto",B33))</f>
        <v>70</v>
      </c>
      <c r="C35" s="111">
        <f t="shared" ref="C35:AZ35" si="6">IF(C33="","auto",IF(C33=" ","auto",C33))</f>
        <v>2.2000000000000002</v>
      </c>
      <c r="D35" s="111" t="str">
        <f t="shared" si="6"/>
        <v>auto</v>
      </c>
      <c r="E35" s="111">
        <f t="shared" si="6"/>
        <v>1.6E-2</v>
      </c>
      <c r="F35" s="111">
        <f t="shared" si="6"/>
        <v>0.02</v>
      </c>
      <c r="G35" s="111">
        <f t="shared" si="6"/>
        <v>0.16</v>
      </c>
      <c r="H35" s="111">
        <f t="shared" si="6"/>
        <v>24</v>
      </c>
      <c r="I35" s="111" t="str">
        <f t="shared" si="6"/>
        <v>auto</v>
      </c>
      <c r="J35" s="111" t="str">
        <f t="shared" si="6"/>
        <v>auto</v>
      </c>
      <c r="K35" s="111">
        <f t="shared" si="6"/>
        <v>60</v>
      </c>
      <c r="L35" s="111">
        <f t="shared" si="6"/>
        <v>40</v>
      </c>
      <c r="M35" s="111">
        <f t="shared" si="6"/>
        <v>25</v>
      </c>
      <c r="N35" s="111" t="str">
        <f t="shared" si="6"/>
        <v>1</v>
      </c>
      <c r="O35" s="111" t="str">
        <f t="shared" si="6"/>
        <v>1.7</v>
      </c>
      <c r="P35" s="111" t="str">
        <f t="shared" si="6"/>
        <v>40</v>
      </c>
      <c r="Q35" s="111" t="str">
        <f t="shared" si="6"/>
        <v>auto</v>
      </c>
      <c r="R35" s="111" t="str">
        <f t="shared" si="6"/>
        <v>.03</v>
      </c>
      <c r="S35" s="111" t="str">
        <f t="shared" si="6"/>
        <v>auto</v>
      </c>
      <c r="T35" s="111" t="str">
        <f t="shared" si="6"/>
        <v>70</v>
      </c>
      <c r="U35" s="111" t="str">
        <f t="shared" si="6"/>
        <v>auto</v>
      </c>
      <c r="V35" s="111" t="str">
        <f t="shared" si="6"/>
        <v>auto</v>
      </c>
      <c r="W35" s="111" t="str">
        <f t="shared" si="6"/>
        <v>auto</v>
      </c>
      <c r="X35" s="111" t="str">
        <f t="shared" si="6"/>
        <v>auto</v>
      </c>
      <c r="Y35" s="111" t="str">
        <f t="shared" si="6"/>
        <v>auto</v>
      </c>
      <c r="Z35" s="111" t="str">
        <f t="shared" si="6"/>
        <v>auto</v>
      </c>
      <c r="AA35" s="111" t="str">
        <f t="shared" si="6"/>
        <v>auto</v>
      </c>
      <c r="AB35" s="111" t="str">
        <f t="shared" si="6"/>
        <v>auto</v>
      </c>
      <c r="AC35" s="111" t="str">
        <f t="shared" si="6"/>
        <v>auto</v>
      </c>
      <c r="AD35" s="111" t="str">
        <f t="shared" si="6"/>
        <v>20</v>
      </c>
      <c r="AE35" s="111" t="str">
        <f t="shared" si="6"/>
        <v>5</v>
      </c>
      <c r="AF35" s="111" t="str">
        <f t="shared" si="6"/>
        <v>35</v>
      </c>
      <c r="AG35" s="111" t="str">
        <f t="shared" si="6"/>
        <v>auto</v>
      </c>
      <c r="AH35" s="111" t="str">
        <f t="shared" si="6"/>
        <v>auto</v>
      </c>
      <c r="AI35" s="111" t="str">
        <f t="shared" si="6"/>
        <v>auto</v>
      </c>
      <c r="AJ35" s="111" t="str">
        <f t="shared" si="6"/>
        <v>auto</v>
      </c>
      <c r="AK35" s="111" t="str">
        <f t="shared" si="6"/>
        <v>1</v>
      </c>
      <c r="AL35" s="111" t="str">
        <f t="shared" si="6"/>
        <v>1</v>
      </c>
      <c r="AM35" s="111" t="str">
        <f t="shared" si="6"/>
        <v>50</v>
      </c>
      <c r="AN35" s="111" t="str">
        <f t="shared" si="6"/>
        <v>3</v>
      </c>
      <c r="AO35" s="111" t="str">
        <f t="shared" si="6"/>
        <v>auto</v>
      </c>
      <c r="AP35" s="111" t="str">
        <f t="shared" si="6"/>
        <v>auto</v>
      </c>
      <c r="AQ35" s="111" t="str">
        <f t="shared" si="6"/>
        <v>auto</v>
      </c>
      <c r="AR35" s="111" t="str">
        <f t="shared" si="6"/>
        <v>1</v>
      </c>
      <c r="AS35" s="111" t="str">
        <f t="shared" si="6"/>
        <v>1</v>
      </c>
      <c r="AT35" s="111" t="str">
        <f t="shared" si="6"/>
        <v>1</v>
      </c>
      <c r="AU35" s="111" t="str">
        <f t="shared" si="6"/>
        <v>1</v>
      </c>
      <c r="AV35" s="111" t="str">
        <f t="shared" si="6"/>
        <v>1</v>
      </c>
      <c r="AW35" s="111" t="str">
        <f t="shared" si="6"/>
        <v>1</v>
      </c>
      <c r="AX35" s="111" t="str">
        <f t="shared" si="6"/>
        <v>1</v>
      </c>
      <c r="AY35" s="111" t="str">
        <f t="shared" si="6"/>
        <v>1</v>
      </c>
      <c r="AZ35" s="111" t="str">
        <f t="shared" si="6"/>
        <v>1.2</v>
      </c>
      <c r="BA35" s="101" t="str">
        <f t="shared" ref="BA35:BN35" si="7">IF(BA33="","auto",IF(BA33=" ","auto",BA33))</f>
        <v>1.3</v>
      </c>
      <c r="BB35" s="101" t="str">
        <f t="shared" si="7"/>
        <v>1.1</v>
      </c>
      <c r="BC35" s="101" t="str">
        <f t="shared" si="7"/>
        <v>1</v>
      </c>
      <c r="BD35" s="101" t="str">
        <f t="shared" si="7"/>
        <v>auto</v>
      </c>
      <c r="BE35" s="101" t="str">
        <f t="shared" si="7"/>
        <v>1</v>
      </c>
      <c r="BF35" s="101" t="str">
        <f t="shared" si="7"/>
        <v>.9</v>
      </c>
      <c r="BG35" s="101" t="str">
        <f t="shared" si="7"/>
        <v>1</v>
      </c>
      <c r="BH35" s="101" t="str">
        <f t="shared" si="7"/>
        <v>1</v>
      </c>
      <c r="BI35" s="101" t="str">
        <f t="shared" si="7"/>
        <v>auto</v>
      </c>
      <c r="BJ35" s="101" t="str">
        <f t="shared" si="7"/>
        <v>5</v>
      </c>
      <c r="BK35" s="101" t="str">
        <f t="shared" si="7"/>
        <v>8</v>
      </c>
      <c r="BL35" s="101" t="str">
        <f t="shared" si="7"/>
        <v>auto</v>
      </c>
      <c r="BM35" s="101" t="str">
        <f t="shared" si="7"/>
        <v>80</v>
      </c>
      <c r="BN35" s="101" t="str">
        <f t="shared" si="7"/>
        <v>auto</v>
      </c>
      <c r="BO35" s="101" t="str">
        <f t="shared" ref="BO35:CW35" si="8">IF(BO33="","auto",IF(BO33=" ","auto",BO33))</f>
        <v>auto</v>
      </c>
      <c r="BP35" s="101" t="str">
        <f t="shared" si="8"/>
        <v>auto</v>
      </c>
      <c r="BQ35" s="101">
        <v>6</v>
      </c>
      <c r="BR35" s="101" t="str">
        <f t="shared" si="8"/>
        <v>auto</v>
      </c>
      <c r="BS35" s="101" t="str">
        <f t="shared" si="8"/>
        <v>auto</v>
      </c>
      <c r="BT35" s="101" t="str">
        <f t="shared" si="8"/>
        <v>auto</v>
      </c>
      <c r="BU35" s="101" t="str">
        <f t="shared" si="8"/>
        <v>auto</v>
      </c>
      <c r="BV35" s="101" t="str">
        <f t="shared" si="8"/>
        <v>.11</v>
      </c>
      <c r="BW35" s="101" t="str">
        <f t="shared" si="8"/>
        <v>.2</v>
      </c>
      <c r="BX35" s="101" t="str">
        <f t="shared" si="8"/>
        <v>auto</v>
      </c>
      <c r="BY35" s="101" t="str">
        <f t="shared" si="8"/>
        <v>40</v>
      </c>
      <c r="BZ35" s="101" t="str">
        <f t="shared" si="8"/>
        <v>auto</v>
      </c>
      <c r="CA35" s="101" t="str">
        <f t="shared" si="8"/>
        <v>15</v>
      </c>
      <c r="CB35" s="101" t="str">
        <f t="shared" si="8"/>
        <v>auto</v>
      </c>
      <c r="CC35" s="101" t="str">
        <f t="shared" si="8"/>
        <v>auto</v>
      </c>
      <c r="CD35" s="101" t="str">
        <f t="shared" si="8"/>
        <v>auto</v>
      </c>
      <c r="CE35" s="101" t="str">
        <f t="shared" si="8"/>
        <v>1</v>
      </c>
      <c r="CF35" s="101" t="str">
        <f t="shared" si="8"/>
        <v>2.5</v>
      </c>
      <c r="CG35" s="101" t="str">
        <f t="shared" si="8"/>
        <v>auto</v>
      </c>
      <c r="CH35" s="101" t="str">
        <f t="shared" si="8"/>
        <v>2</v>
      </c>
      <c r="CI35" s="101" t="str">
        <f t="shared" si="8"/>
        <v>auto</v>
      </c>
      <c r="CJ35" s="101" t="str">
        <f t="shared" si="8"/>
        <v>.5</v>
      </c>
      <c r="CK35" s="101" t="str">
        <f t="shared" si="8"/>
        <v>1.8</v>
      </c>
      <c r="CL35" s="101" t="str">
        <f t="shared" si="8"/>
        <v>.6</v>
      </c>
      <c r="CM35" s="101" t="str">
        <f t="shared" si="8"/>
        <v>1.1</v>
      </c>
      <c r="CN35" s="101" t="str">
        <f t="shared" si="8"/>
        <v>auto</v>
      </c>
      <c r="CO35" s="101" t="str">
        <f t="shared" si="8"/>
        <v>1.5</v>
      </c>
      <c r="CP35" s="101" t="str">
        <f t="shared" si="8"/>
        <v>auto</v>
      </c>
      <c r="CQ35" s="101" t="str">
        <f t="shared" si="8"/>
        <v>40</v>
      </c>
      <c r="CR35" s="101" t="str">
        <f t="shared" si="8"/>
        <v>8</v>
      </c>
      <c r="CS35" s="101" t="str">
        <f t="shared" si="8"/>
        <v>1.5</v>
      </c>
      <c r="CT35" s="101" t="str">
        <f t="shared" si="8"/>
        <v>auto</v>
      </c>
      <c r="CU35" s="101" t="str">
        <f t="shared" si="8"/>
        <v>1.2</v>
      </c>
      <c r="CV35" s="101" t="str">
        <f t="shared" si="8"/>
        <v>.3</v>
      </c>
      <c r="CW35" s="102" t="str">
        <f t="shared" si="8"/>
        <v>auto</v>
      </c>
      <c r="CX35" s="22"/>
      <c r="CY35" s="22"/>
      <c r="CZ35" s="22"/>
    </row>
    <row r="36" spans="1:104" ht="24.75" customHeight="1" thickBot="1">
      <c r="A36" s="103"/>
      <c r="B36" s="103"/>
      <c r="C36" s="103"/>
      <c r="D36" s="103"/>
      <c r="E36" s="103"/>
      <c r="F36" s="103"/>
      <c r="G36" s="103"/>
      <c r="H36" s="103"/>
      <c r="I36" s="103"/>
      <c r="J36" s="103"/>
      <c r="K36" s="103"/>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105"/>
      <c r="CK36" s="105"/>
      <c r="CL36" s="105"/>
      <c r="CM36" s="105"/>
      <c r="CN36" s="105"/>
      <c r="CO36" s="105"/>
      <c r="CP36" s="105"/>
      <c r="CQ36" s="105"/>
      <c r="CR36" s="105"/>
      <c r="CS36" s="105"/>
      <c r="CT36" s="105"/>
      <c r="CU36" s="105"/>
      <c r="CV36" s="105"/>
      <c r="CW36" s="105"/>
      <c r="CX36" s="23"/>
      <c r="CY36" s="23"/>
      <c r="CZ36" s="23"/>
    </row>
    <row r="37" spans="1:104" ht="20.100000000000001" customHeight="1">
      <c r="A37" s="112" t="s">
        <v>0</v>
      </c>
      <c r="B37" s="107" t="str">
        <f>Control!N10</f>
        <v>101    (Column CW)</v>
      </c>
      <c r="C37" s="107" t="str">
        <f>Control!O10</f>
        <v>102    (Column CX)</v>
      </c>
      <c r="D37" s="107" t="str">
        <f>Control!P10</f>
        <v>103    (Column CY)</v>
      </c>
      <c r="E37" s="107" t="str">
        <f>Control!Q10</f>
        <v>104    (Column CZ)</v>
      </c>
      <c r="F37" s="107" t="str">
        <f>Control!R10</f>
        <v>105    (Column DA)</v>
      </c>
      <c r="G37" s="107" t="str">
        <f>Control!S10</f>
        <v>106    (Column DB)</v>
      </c>
      <c r="H37" s="107" t="str">
        <f>Control!T10</f>
        <v>107    (Column DC)</v>
      </c>
      <c r="I37" s="107" t="str">
        <f>Control!U10</f>
        <v>108    (Column DD)</v>
      </c>
      <c r="J37" s="107" t="str">
        <f>Control!V10</f>
        <v>109    (Column DE)</v>
      </c>
      <c r="K37" s="107" t="str">
        <f>Control!W10</f>
        <v>110    (Column DF)</v>
      </c>
      <c r="L37" s="96" t="str">
        <f>Control!N13</f>
        <v>111    (Column DG)</v>
      </c>
      <c r="M37" s="96" t="str">
        <f>Control!O13</f>
        <v>112    (Column DH)</v>
      </c>
      <c r="N37" s="96" t="str">
        <f>Control!P13</f>
        <v>113    (Column DI)</v>
      </c>
      <c r="O37" s="96" t="str">
        <f>Control!Q13</f>
        <v>114    (Column DJ)</v>
      </c>
      <c r="P37" s="96" t="str">
        <f>Control!R13</f>
        <v>115    (Column DK)</v>
      </c>
      <c r="Q37" s="96" t="str">
        <f>Control!S13</f>
        <v>116    (Column DL)</v>
      </c>
      <c r="R37" s="96" t="str">
        <f>Control!T13</f>
        <v>117    (Column DM)</v>
      </c>
      <c r="S37" s="96" t="str">
        <f>Control!U13</f>
        <v>118    (Column DN)</v>
      </c>
      <c r="T37" s="96" t="str">
        <f>Control!V13</f>
        <v>119    (Column DO)</v>
      </c>
      <c r="U37" s="96" t="str">
        <f>Control!W13</f>
        <v>120    (Column DP)</v>
      </c>
      <c r="V37" s="96" t="str">
        <f>Control!N16</f>
        <v>121    (Column DQ)</v>
      </c>
      <c r="W37" s="96" t="str">
        <f>Control!O16</f>
        <v>122    (Column DR)</v>
      </c>
      <c r="X37" s="96" t="str">
        <f>Control!P16</f>
        <v>123    (Column DS)</v>
      </c>
      <c r="Y37" s="96" t="str">
        <f>Control!Q16</f>
        <v>124    (Column DT)</v>
      </c>
      <c r="Z37" s="96" t="str">
        <f>Control!R16</f>
        <v>125    (Column DU)</v>
      </c>
      <c r="AA37" s="96" t="str">
        <f>Control!S16</f>
        <v>126    (Column DV)</v>
      </c>
      <c r="AB37" s="96" t="str">
        <f>Control!T16</f>
        <v>127    (Column DW)</v>
      </c>
      <c r="AC37" s="96" t="str">
        <f>Control!U16</f>
        <v>128    (Column DX)</v>
      </c>
      <c r="AD37" s="96" t="str">
        <f>Control!V16</f>
        <v>129    (Column DY)</v>
      </c>
      <c r="AE37" s="96" t="str">
        <f>Control!W16</f>
        <v>130    (Column DZ)</v>
      </c>
      <c r="AF37" s="96" t="str">
        <f>Control!N19</f>
        <v>131    (Column EA)</v>
      </c>
      <c r="AG37" s="96" t="str">
        <f>Control!O19</f>
        <v>132    (Column EB)</v>
      </c>
      <c r="AH37" s="96" t="str">
        <f>Control!P19</f>
        <v>133    (Column EC)</v>
      </c>
      <c r="AI37" s="96" t="str">
        <f>Control!Q19</f>
        <v>134    (Column ED)</v>
      </c>
      <c r="AJ37" s="96" t="str">
        <f>Control!R19</f>
        <v>135    (Column EE)</v>
      </c>
      <c r="AK37" s="96" t="str">
        <f>Control!S19</f>
        <v>136    (Column EF)</v>
      </c>
      <c r="AL37" s="96" t="str">
        <f>Control!T19</f>
        <v>137    (Column EG)</v>
      </c>
      <c r="AM37" s="96" t="str">
        <f>Control!U19</f>
        <v>138    (Column EH)</v>
      </c>
      <c r="AN37" s="96" t="str">
        <f>Control!V19</f>
        <v>139    (Column EI)</v>
      </c>
      <c r="AO37" s="96" t="str">
        <f>Control!W19</f>
        <v>140    (Column EJ)</v>
      </c>
      <c r="AP37" s="96" t="str">
        <f>Control!N22</f>
        <v>141    (Column EK)</v>
      </c>
      <c r="AQ37" s="96" t="str">
        <f>Control!O22</f>
        <v>142    (Column EL)</v>
      </c>
      <c r="AR37" s="96" t="str">
        <f>Control!P22</f>
        <v>143    (Column EM)</v>
      </c>
      <c r="AS37" s="96" t="str">
        <f>Control!Q22</f>
        <v>144    (Column EN)</v>
      </c>
      <c r="AT37" s="96" t="str">
        <f>Control!R22</f>
        <v>145    (Column EO)</v>
      </c>
      <c r="AU37" s="96" t="str">
        <f>Control!S22</f>
        <v>146    (Column EP)</v>
      </c>
      <c r="AV37" s="96" t="str">
        <f>Control!T22</f>
        <v>147    (Column EQ)</v>
      </c>
      <c r="AW37" s="96" t="str">
        <f>Control!U22</f>
        <v>148    (Column ER)</v>
      </c>
      <c r="AX37" s="96" t="str">
        <f>Control!V22</f>
        <v>149    (Column ES)</v>
      </c>
      <c r="AY37" s="96" t="str">
        <f>Control!W22</f>
        <v>150    (Column ET)</v>
      </c>
      <c r="AZ37" s="96" t="str">
        <f>Control!N25</f>
        <v>151    (Column EU)</v>
      </c>
      <c r="BA37" s="96" t="str">
        <f>Control!O25</f>
        <v>152    (Column EV)</v>
      </c>
      <c r="BB37" s="96" t="str">
        <f>Control!P25</f>
        <v>153    (Column EW)</v>
      </c>
      <c r="BC37" s="96" t="str">
        <f>Control!Q25</f>
        <v>154    (Column EX)</v>
      </c>
      <c r="BD37" s="96" t="str">
        <f>Control!R25</f>
        <v>155    (Column EY)</v>
      </c>
      <c r="BE37" s="96" t="str">
        <f>Control!S25</f>
        <v>156    (Column EZ)</v>
      </c>
      <c r="BF37" s="96" t="str">
        <f>Control!T25</f>
        <v>157    (Column FA)</v>
      </c>
      <c r="BG37" s="96" t="str">
        <f>Control!U25</f>
        <v>158    (Column FB)</v>
      </c>
      <c r="BH37" s="96" t="str">
        <f>Control!V25</f>
        <v>159    (Column FC)</v>
      </c>
      <c r="BI37" s="96" t="str">
        <f>Control!W25</f>
        <v>160    (Column FD)</v>
      </c>
      <c r="BJ37" s="96" t="str">
        <f>Control!N28</f>
        <v>161    (Column FE)</v>
      </c>
      <c r="BK37" s="96" t="str">
        <f>Control!O28</f>
        <v>162    (Column FF)</v>
      </c>
      <c r="BL37" s="96" t="str">
        <f>Control!P28</f>
        <v>163    (Column FG)</v>
      </c>
      <c r="BM37" s="96" t="str">
        <f>Control!Q28</f>
        <v>164    (Column FH)</v>
      </c>
      <c r="BN37" s="96" t="str">
        <f>Control!R28</f>
        <v>165    (Column FI)</v>
      </c>
      <c r="BO37" s="96" t="str">
        <f>Control!S28</f>
        <v>166    (Column FJ)</v>
      </c>
      <c r="BP37" s="96" t="str">
        <f>Control!T28</f>
        <v>167    (Column FK)</v>
      </c>
      <c r="BQ37" s="96" t="str">
        <f>Control!U28</f>
        <v>168    (Column FL)</v>
      </c>
      <c r="BR37" s="96" t="str">
        <f>Control!V28</f>
        <v>169    (Column FM)</v>
      </c>
      <c r="BS37" s="96" t="str">
        <f>Control!W28</f>
        <v>170    (Column FN)</v>
      </c>
      <c r="BT37" s="96" t="str">
        <f>Control!N31</f>
        <v>171    (Column FO)</v>
      </c>
      <c r="BU37" s="96" t="str">
        <f>Control!O31</f>
        <v>172    (Column FP)</v>
      </c>
      <c r="BV37" s="96" t="str">
        <f>Control!P31</f>
        <v>173    (Column FQ)</v>
      </c>
      <c r="BW37" s="96" t="str">
        <f>Control!Q31</f>
        <v>174    (Column FR)</v>
      </c>
      <c r="BX37" s="96" t="str">
        <f>Control!R31</f>
        <v>175    (Column FS)</v>
      </c>
      <c r="BY37" s="96" t="str">
        <f>Control!S31</f>
        <v>176    (Column FT)</v>
      </c>
      <c r="BZ37" s="96" t="str">
        <f>Control!T31</f>
        <v>177    (Column FU)</v>
      </c>
      <c r="CA37" s="96" t="str">
        <f>Control!U31</f>
        <v>178    (Column FV)</v>
      </c>
      <c r="CB37" s="96" t="str">
        <f>Control!V31</f>
        <v>179    (Column FW)</v>
      </c>
      <c r="CC37" s="96" t="str">
        <f>Control!W31</f>
        <v>180    (Column FX)</v>
      </c>
      <c r="CD37" s="96" t="str">
        <f>Control!N34</f>
        <v>181    (Column FY)</v>
      </c>
      <c r="CE37" s="96" t="str">
        <f>Control!O34</f>
        <v>182    (Column FZ)</v>
      </c>
      <c r="CF37" s="96" t="str">
        <f>Control!P34</f>
        <v>183    (Column GA)</v>
      </c>
      <c r="CG37" s="96" t="str">
        <f>Control!Q34</f>
        <v>184    (Column GB)</v>
      </c>
      <c r="CH37" s="96" t="str">
        <f>Control!R34</f>
        <v>185    (Column GC)</v>
      </c>
      <c r="CI37" s="96" t="str">
        <f>Control!S34</f>
        <v>186    (Column GD)</v>
      </c>
      <c r="CJ37" s="96" t="str">
        <f>Control!T34</f>
        <v>187    (Column GE)</v>
      </c>
      <c r="CK37" s="96" t="str">
        <f>Control!U34</f>
        <v>188    (Column GF)</v>
      </c>
      <c r="CL37" s="96" t="str">
        <f>Control!V34</f>
        <v>189    (Column GG)</v>
      </c>
      <c r="CM37" s="96" t="str">
        <f>Control!W34</f>
        <v>190    (Column GH)</v>
      </c>
      <c r="CN37" s="96" t="str">
        <f>Control!N37</f>
        <v>191    (Column GI)</v>
      </c>
      <c r="CO37" s="96" t="str">
        <f>Control!O37</f>
        <v>192    (Column GJ)</v>
      </c>
      <c r="CP37" s="96" t="str">
        <f>Control!P37</f>
        <v>193    (Column GK)</v>
      </c>
      <c r="CQ37" s="96" t="str">
        <f>Control!Q37</f>
        <v>194    (Column GL)</v>
      </c>
      <c r="CR37" s="96" t="str">
        <f>Control!R37</f>
        <v>195    (Column GM)</v>
      </c>
      <c r="CS37" s="96" t="str">
        <f>Control!S37</f>
        <v>196    (Column GN)</v>
      </c>
      <c r="CT37" s="96" t="str">
        <f>Control!T37</f>
        <v>197    (Column GO)</v>
      </c>
      <c r="CU37" s="96" t="str">
        <f>Control!U37</f>
        <v>198    (Column GP)</v>
      </c>
      <c r="CV37" s="96" t="str">
        <f>Control!V37</f>
        <v>199    (Column GQ)</v>
      </c>
      <c r="CW37" s="231" t="str">
        <f>Control!W37</f>
        <v>200    (Column GR)</v>
      </c>
      <c r="CX37" s="232"/>
      <c r="CY37" s="23"/>
      <c r="CZ37" s="23"/>
    </row>
    <row r="38" spans="1:104" s="1" customFormat="1" ht="50.1" customHeight="1">
      <c r="A38" s="113" t="s">
        <v>1</v>
      </c>
      <c r="B38" s="108" t="str">
        <f>IF(Control!N11="","",Control!N11)</f>
        <v/>
      </c>
      <c r="C38" s="108" t="str">
        <f>IF(Control!O11="","",Control!O11)</f>
        <v/>
      </c>
      <c r="D38" s="108" t="str">
        <f>IF(Control!P11="","",Control!P11)</f>
        <v/>
      </c>
      <c r="E38" s="108" t="str">
        <f>IF(Control!Q11="","",Control!Q11)</f>
        <v/>
      </c>
      <c r="F38" s="108" t="str">
        <f>IF(Control!R11="","",Control!R11)</f>
        <v/>
      </c>
      <c r="G38" s="108" t="str">
        <f>IF(Control!S11="","",Control!S11)</f>
        <v/>
      </c>
      <c r="H38" s="108" t="str">
        <f>IF(Control!T11="","",Control!T11)</f>
        <v/>
      </c>
      <c r="I38" s="108" t="str">
        <f>IF(Control!U11="","",Control!U11)</f>
        <v/>
      </c>
      <c r="J38" s="108" t="str">
        <f>IF(Control!V11="","",Control!V11)</f>
        <v/>
      </c>
      <c r="K38" s="108" t="str">
        <f>IF(Control!W11="","",Control!W11)</f>
        <v/>
      </c>
      <c r="L38" s="108" t="str">
        <f>IF(Control!N14="","",Control!N14)</f>
        <v/>
      </c>
      <c r="M38" s="108" t="str">
        <f>IF(Control!O14="","",Control!O14)</f>
        <v/>
      </c>
      <c r="N38" s="108" t="str">
        <f>IF(Control!P14="","",Control!P14)</f>
        <v/>
      </c>
      <c r="O38" s="108" t="str">
        <f>IF(Control!Q14="","",Control!Q14)</f>
        <v/>
      </c>
      <c r="P38" s="108" t="str">
        <f>IF(Control!R14="","",Control!R14)</f>
        <v/>
      </c>
      <c r="Q38" s="108" t="str">
        <f>IF(Control!S14="","",Control!S14)</f>
        <v/>
      </c>
      <c r="R38" s="108" t="str">
        <f>IF(Control!T14="","",Control!T14)</f>
        <v/>
      </c>
      <c r="S38" s="108" t="str">
        <f>IF(Control!U14="","",Control!U14)</f>
        <v/>
      </c>
      <c r="T38" s="108" t="str">
        <f>IF(Control!V14="","",Control!V14)</f>
        <v/>
      </c>
      <c r="U38" s="108" t="str">
        <f>IF(Control!W14="","",Control!W14)</f>
        <v/>
      </c>
      <c r="V38" s="108" t="str">
        <f>IF(Control!N17="","",Control!N17)</f>
        <v/>
      </c>
      <c r="W38" s="108" t="str">
        <f>IF(Control!O17="","",Control!O17)</f>
        <v/>
      </c>
      <c r="X38" s="108" t="str">
        <f>IF(Control!P17="","",Control!P17)</f>
        <v/>
      </c>
      <c r="Y38" s="108" t="str">
        <f>IF(Control!Q17="","",Control!Q17)</f>
        <v/>
      </c>
      <c r="Z38" s="108" t="str">
        <f>IF(Control!R17="","",Control!R17)</f>
        <v/>
      </c>
      <c r="AA38" s="108" t="str">
        <f>IF(Control!S17="","",Control!S17)</f>
        <v/>
      </c>
      <c r="AB38" s="108" t="str">
        <f>IF(Control!T17="","",Control!T17)</f>
        <v/>
      </c>
      <c r="AC38" s="108" t="str">
        <f>IF(Control!U17="","",Control!U17)</f>
        <v/>
      </c>
      <c r="AD38" s="108" t="str">
        <f>IF(Control!V17="","",Control!V17)</f>
        <v/>
      </c>
      <c r="AE38" s="108" t="str">
        <f>IF(Control!W17="","",Control!W17)</f>
        <v/>
      </c>
      <c r="AF38" s="108" t="str">
        <f>IF(Control!N20="","",Control!N20)</f>
        <v/>
      </c>
      <c r="AG38" s="108" t="str">
        <f>IF(Control!O20="","",Control!O20)</f>
        <v/>
      </c>
      <c r="AH38" s="108" t="str">
        <f>IF(Control!P20="","",Control!P20)</f>
        <v/>
      </c>
      <c r="AI38" s="108" t="str">
        <f>IF(Control!Q20="","",Control!Q20)</f>
        <v/>
      </c>
      <c r="AJ38" s="108" t="str">
        <f>IF(Control!R20="","",Control!R20)</f>
        <v/>
      </c>
      <c r="AK38" s="108" t="str">
        <f>IF(Control!S20="","",Control!S20)</f>
        <v/>
      </c>
      <c r="AL38" s="108" t="str">
        <f>IF(Control!T20="","",Control!T20)</f>
        <v/>
      </c>
      <c r="AM38" s="108" t="str">
        <f>IF(Control!U20="","",Control!U20)</f>
        <v/>
      </c>
      <c r="AN38" s="108" t="str">
        <f>IF(Control!V20="","",Control!V20)</f>
        <v/>
      </c>
      <c r="AO38" s="108" t="str">
        <f>IF(Control!W20="","",Control!W20)</f>
        <v/>
      </c>
      <c r="AP38" s="108" t="str">
        <f>IF(Control!N23="","",Control!N23)</f>
        <v/>
      </c>
      <c r="AQ38" s="108" t="str">
        <f>IF(Control!O23="","",Control!O23)</f>
        <v/>
      </c>
      <c r="AR38" s="108" t="str">
        <f>IF(Control!P23="","",Control!P23)</f>
        <v/>
      </c>
      <c r="AS38" s="108" t="str">
        <f>IF(Control!Q23="","",Control!Q23)</f>
        <v/>
      </c>
      <c r="AT38" s="108" t="str">
        <f>IF(Control!R23="","",Control!R23)</f>
        <v/>
      </c>
      <c r="AU38" s="108" t="str">
        <f>IF(Control!S23="","",Control!S23)</f>
        <v/>
      </c>
      <c r="AV38" s="108" t="str">
        <f>IF(Control!T23="","",Control!T23)</f>
        <v/>
      </c>
      <c r="AW38" s="108" t="str">
        <f>IF(Control!U23="","",Control!U23)</f>
        <v/>
      </c>
      <c r="AX38" s="108" t="str">
        <f>IF(Control!V23="","",Control!V23)</f>
        <v/>
      </c>
      <c r="AY38" s="108" t="str">
        <f>IF(Control!W23="","",Control!W23)</f>
        <v/>
      </c>
      <c r="AZ38" s="108" t="str">
        <f>IF(Control!N26="","",Control!N26)</f>
        <v/>
      </c>
      <c r="BA38" s="108" t="str">
        <f>IF(Control!O26="","",Control!O26)</f>
        <v/>
      </c>
      <c r="BB38" s="108" t="str">
        <f>IF(Control!P26="","",Control!P26)</f>
        <v/>
      </c>
      <c r="BC38" s="108" t="str">
        <f>IF(Control!Q26="","",Control!Q26)</f>
        <v/>
      </c>
      <c r="BD38" s="108" t="str">
        <f>IF(Control!R26="","",Control!R26)</f>
        <v/>
      </c>
      <c r="BE38" s="108" t="str">
        <f>IF(Control!S26="","",Control!S26)</f>
        <v/>
      </c>
      <c r="BF38" s="108" t="str">
        <f>IF(Control!T26="","",Control!T26)</f>
        <v/>
      </c>
      <c r="BG38" s="108" t="str">
        <f>IF(Control!U26="","",Control!U26)</f>
        <v/>
      </c>
      <c r="BH38" s="108" t="str">
        <f>IF(Control!V26="","",Control!V26)</f>
        <v/>
      </c>
      <c r="BI38" s="108" t="str">
        <f>IF(Control!W26="","",Control!W26)</f>
        <v/>
      </c>
      <c r="BJ38" s="108" t="str">
        <f>IF(Control!N29="","",Control!N29)</f>
        <v/>
      </c>
      <c r="BK38" s="108" t="str">
        <f>IF(Control!O29="","",Control!O29)</f>
        <v/>
      </c>
      <c r="BL38" s="108" t="str">
        <f>IF(Control!P29="","",Control!P29)</f>
        <v/>
      </c>
      <c r="BM38" s="108" t="str">
        <f>IF(Control!Q29="","",Control!Q29)</f>
        <v/>
      </c>
      <c r="BN38" s="108" t="str">
        <f>IF(Control!R29="","",Control!R29)</f>
        <v/>
      </c>
      <c r="BO38" s="108" t="str">
        <f>IF(Control!S29="","",Control!S29)</f>
        <v/>
      </c>
      <c r="BP38" s="108" t="str">
        <f>IF(Control!T29="","",Control!T29)</f>
        <v/>
      </c>
      <c r="BQ38" s="108" t="str">
        <f>IF(Control!U29="","",Control!U29)</f>
        <v/>
      </c>
      <c r="BR38" s="108" t="str">
        <f>IF(Control!V29="","",Control!V29)</f>
        <v/>
      </c>
      <c r="BS38" s="108" t="str">
        <f>IF(Control!W29="","",Control!W29)</f>
        <v/>
      </c>
      <c r="BT38" s="108" t="str">
        <f>IF(Control!N32="","",Control!N32)</f>
        <v/>
      </c>
      <c r="BU38" s="108" t="str">
        <f>IF(Control!O32="","",Control!O32)</f>
        <v/>
      </c>
      <c r="BV38" s="108" t="str">
        <f>IF(Control!P32="","",Control!P32)</f>
        <v/>
      </c>
      <c r="BW38" s="108" t="str">
        <f>IF(Control!Q32="","",Control!Q32)</f>
        <v/>
      </c>
      <c r="BX38" s="108" t="str">
        <f>IF(Control!R32="","",Control!R32)</f>
        <v/>
      </c>
      <c r="BY38" s="108" t="str">
        <f>IF(Control!S32="","",Control!S32)</f>
        <v/>
      </c>
      <c r="BZ38" s="108" t="str">
        <f>IF(Control!T32="","",Control!T32)</f>
        <v/>
      </c>
      <c r="CA38" s="108" t="str">
        <f>IF(Control!U32="","",Control!U32)</f>
        <v/>
      </c>
      <c r="CB38" s="108" t="str">
        <f>IF(Control!V32="","",Control!V32)</f>
        <v/>
      </c>
      <c r="CC38" s="108" t="str">
        <f>IF(Control!W32="","",Control!W32)</f>
        <v/>
      </c>
      <c r="CD38" s="108" t="str">
        <f>IF(Control!N35="","",Control!N35)</f>
        <v/>
      </c>
      <c r="CE38" s="108" t="str">
        <f>IF(Control!O35="","",Control!O35)</f>
        <v/>
      </c>
      <c r="CF38" s="108" t="str">
        <f>IF(Control!P35="","",Control!P35)</f>
        <v/>
      </c>
      <c r="CG38" s="108" t="str">
        <f>IF(Control!Q35="","",Control!Q35)</f>
        <v/>
      </c>
      <c r="CH38" s="108" t="str">
        <f>IF(Control!R35="","",Control!R35)</f>
        <v/>
      </c>
      <c r="CI38" s="108" t="str">
        <f>IF(Control!S35="","",Control!S35)</f>
        <v/>
      </c>
      <c r="CJ38" s="108" t="str">
        <f>IF(Control!T35="","",Control!T35)</f>
        <v/>
      </c>
      <c r="CK38" s="108" t="str">
        <f>IF(Control!U35="","",Control!U35)</f>
        <v/>
      </c>
      <c r="CL38" s="108" t="str">
        <f>IF(Control!V35="","",Control!V35)</f>
        <v/>
      </c>
      <c r="CM38" s="108" t="str">
        <f>IF(Control!W35="","",Control!W35)</f>
        <v/>
      </c>
      <c r="CN38" s="108" t="str">
        <f>IF(Control!N38="","",Control!N38)</f>
        <v/>
      </c>
      <c r="CO38" s="108" t="str">
        <f>IF(Control!O38="","",Control!O38)</f>
        <v/>
      </c>
      <c r="CP38" s="108" t="str">
        <f>IF(Control!P38="","",Control!P38)</f>
        <v/>
      </c>
      <c r="CQ38" s="108" t="str">
        <f>IF(Control!Q38="","",Control!Q38)</f>
        <v/>
      </c>
      <c r="CR38" s="108" t="str">
        <f>IF(Control!R38="","",Control!R38)</f>
        <v/>
      </c>
      <c r="CS38" s="108" t="str">
        <f>IF(Control!S38="","",Control!S38)</f>
        <v/>
      </c>
      <c r="CT38" s="108" t="str">
        <f>IF(Control!T38="","",Control!T38)</f>
        <v/>
      </c>
      <c r="CU38" s="108" t="str">
        <f>IF(Control!U38="","",Control!U38)</f>
        <v/>
      </c>
      <c r="CV38" s="108" t="str">
        <f>IF(Control!V38="","",Control!V38)</f>
        <v/>
      </c>
      <c r="CW38" s="233" t="str">
        <f>IF(Control!W38="","",Control!W38)</f>
        <v/>
      </c>
      <c r="CX38" s="234"/>
      <c r="CY38" s="22"/>
      <c r="CZ38" s="22"/>
    </row>
    <row r="39" spans="1:104" ht="50.1" customHeight="1">
      <c r="A39" s="218" t="s">
        <v>33</v>
      </c>
      <c r="B39" s="109"/>
      <c r="C39" s="87"/>
      <c r="D39" s="87"/>
      <c r="E39" s="87"/>
      <c r="F39" s="87"/>
      <c r="G39" s="87"/>
      <c r="H39" s="87"/>
      <c r="I39" s="87"/>
      <c r="J39" s="87"/>
      <c r="K39" s="8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c r="AL39" s="237"/>
      <c r="AM39" s="238"/>
      <c r="AN39" s="238"/>
      <c r="AO39" s="238"/>
      <c r="AP39" s="238"/>
      <c r="AQ39" s="238"/>
      <c r="AR39" s="238"/>
      <c r="AS39" s="238"/>
      <c r="AT39" s="238"/>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8"/>
      <c r="BW39" s="238"/>
      <c r="BX39" s="238"/>
      <c r="BY39" s="238"/>
      <c r="BZ39" s="238"/>
      <c r="CA39" s="238"/>
      <c r="CB39" s="238"/>
      <c r="CC39" s="238"/>
      <c r="CD39" s="238"/>
      <c r="CE39" s="238"/>
      <c r="CF39" s="238"/>
      <c r="CG39" s="238"/>
      <c r="CH39" s="238"/>
      <c r="CI39" s="238"/>
      <c r="CJ39" s="238"/>
      <c r="CK39" s="238"/>
      <c r="CL39" s="238"/>
      <c r="CM39" s="238"/>
      <c r="CN39" s="238"/>
      <c r="CO39" s="238"/>
      <c r="CP39" s="238"/>
      <c r="CQ39" s="238"/>
      <c r="CR39" s="238"/>
      <c r="CS39" s="238"/>
      <c r="CT39" s="238"/>
      <c r="CU39" s="238"/>
      <c r="CV39" s="238"/>
      <c r="CW39" s="239"/>
      <c r="CX39" s="23"/>
      <c r="CY39" s="23"/>
      <c r="CZ39" s="23"/>
    </row>
    <row r="40" spans="1:104" s="1" customFormat="1" ht="50.1" customHeight="1">
      <c r="A40" s="219" t="s">
        <v>34</v>
      </c>
      <c r="B40" s="108" t="str">
        <f t="shared" ref="B40:AG40" si="9">IF(B39="",B38,IF(B39=" ",B38,B39))</f>
        <v/>
      </c>
      <c r="C40" s="28" t="str">
        <f t="shared" si="9"/>
        <v/>
      </c>
      <c r="D40" s="28" t="str">
        <f t="shared" si="9"/>
        <v/>
      </c>
      <c r="E40" s="28" t="str">
        <f t="shared" si="9"/>
        <v/>
      </c>
      <c r="F40" s="28" t="str">
        <f t="shared" si="9"/>
        <v/>
      </c>
      <c r="G40" s="28" t="str">
        <f t="shared" si="9"/>
        <v/>
      </c>
      <c r="H40" s="28" t="str">
        <f t="shared" si="9"/>
        <v/>
      </c>
      <c r="I40" s="28" t="str">
        <f t="shared" si="9"/>
        <v/>
      </c>
      <c r="J40" s="28" t="str">
        <f t="shared" si="9"/>
        <v/>
      </c>
      <c r="K40" s="28" t="str">
        <f t="shared" si="9"/>
        <v/>
      </c>
      <c r="L40" s="28" t="str">
        <f t="shared" si="9"/>
        <v/>
      </c>
      <c r="M40" s="28" t="str">
        <f t="shared" si="9"/>
        <v/>
      </c>
      <c r="N40" s="28" t="str">
        <f t="shared" si="9"/>
        <v/>
      </c>
      <c r="O40" s="28" t="str">
        <f t="shared" si="9"/>
        <v/>
      </c>
      <c r="P40" s="28" t="str">
        <f t="shared" si="9"/>
        <v/>
      </c>
      <c r="Q40" s="28" t="str">
        <f t="shared" si="9"/>
        <v/>
      </c>
      <c r="R40" s="28" t="str">
        <f t="shared" si="9"/>
        <v/>
      </c>
      <c r="S40" s="28" t="str">
        <f t="shared" si="9"/>
        <v/>
      </c>
      <c r="T40" s="28" t="str">
        <f t="shared" si="9"/>
        <v/>
      </c>
      <c r="U40" s="28" t="str">
        <f t="shared" si="9"/>
        <v/>
      </c>
      <c r="V40" s="28" t="str">
        <f t="shared" si="9"/>
        <v/>
      </c>
      <c r="W40" s="28" t="str">
        <f t="shared" si="9"/>
        <v/>
      </c>
      <c r="X40" s="28" t="str">
        <f t="shared" si="9"/>
        <v/>
      </c>
      <c r="Y40" s="28" t="str">
        <f t="shared" si="9"/>
        <v/>
      </c>
      <c r="Z40" s="28" t="str">
        <f t="shared" si="9"/>
        <v/>
      </c>
      <c r="AA40" s="28" t="str">
        <f t="shared" si="9"/>
        <v/>
      </c>
      <c r="AB40" s="28" t="str">
        <f t="shared" si="9"/>
        <v/>
      </c>
      <c r="AC40" s="28" t="str">
        <f t="shared" si="9"/>
        <v/>
      </c>
      <c r="AD40" s="28" t="str">
        <f t="shared" si="9"/>
        <v/>
      </c>
      <c r="AE40" s="28" t="str">
        <f t="shared" si="9"/>
        <v/>
      </c>
      <c r="AF40" s="28" t="str">
        <f t="shared" si="9"/>
        <v/>
      </c>
      <c r="AG40" s="28" t="str">
        <f t="shared" si="9"/>
        <v/>
      </c>
      <c r="AH40" s="28" t="str">
        <f t="shared" ref="AH40:BM40" si="10">IF(AH39="",AH38,IF(AH39=" ",AH38,AH39))</f>
        <v/>
      </c>
      <c r="AI40" s="28" t="str">
        <f t="shared" si="10"/>
        <v/>
      </c>
      <c r="AJ40" s="28" t="str">
        <f t="shared" si="10"/>
        <v/>
      </c>
      <c r="AK40" s="28" t="str">
        <f t="shared" si="10"/>
        <v/>
      </c>
      <c r="AL40" s="28" t="str">
        <f t="shared" si="10"/>
        <v/>
      </c>
      <c r="AM40" s="28" t="str">
        <f t="shared" si="10"/>
        <v/>
      </c>
      <c r="AN40" s="28" t="str">
        <f t="shared" si="10"/>
        <v/>
      </c>
      <c r="AO40" s="28" t="str">
        <f t="shared" si="10"/>
        <v/>
      </c>
      <c r="AP40" s="28" t="str">
        <f t="shared" si="10"/>
        <v/>
      </c>
      <c r="AQ40" s="28" t="str">
        <f t="shared" si="10"/>
        <v/>
      </c>
      <c r="AR40" s="28" t="str">
        <f t="shared" si="10"/>
        <v/>
      </c>
      <c r="AS40" s="28" t="str">
        <f t="shared" si="10"/>
        <v/>
      </c>
      <c r="AT40" s="28" t="str">
        <f t="shared" si="10"/>
        <v/>
      </c>
      <c r="AU40" s="28" t="str">
        <f t="shared" si="10"/>
        <v/>
      </c>
      <c r="AV40" s="28" t="str">
        <f t="shared" si="10"/>
        <v/>
      </c>
      <c r="AW40" s="28" t="str">
        <f t="shared" si="10"/>
        <v/>
      </c>
      <c r="AX40" s="28" t="str">
        <f t="shared" si="10"/>
        <v/>
      </c>
      <c r="AY40" s="28" t="str">
        <f t="shared" si="10"/>
        <v/>
      </c>
      <c r="AZ40" s="28" t="str">
        <f t="shared" si="10"/>
        <v/>
      </c>
      <c r="BA40" s="28" t="str">
        <f t="shared" si="10"/>
        <v/>
      </c>
      <c r="BB40" s="28" t="str">
        <f t="shared" si="10"/>
        <v/>
      </c>
      <c r="BC40" s="28" t="str">
        <f t="shared" si="10"/>
        <v/>
      </c>
      <c r="BD40" s="28" t="str">
        <f t="shared" si="10"/>
        <v/>
      </c>
      <c r="BE40" s="28" t="str">
        <f t="shared" si="10"/>
        <v/>
      </c>
      <c r="BF40" s="28" t="str">
        <f t="shared" si="10"/>
        <v/>
      </c>
      <c r="BG40" s="28" t="str">
        <f t="shared" si="10"/>
        <v/>
      </c>
      <c r="BH40" s="28" t="str">
        <f t="shared" si="10"/>
        <v/>
      </c>
      <c r="BI40" s="28" t="str">
        <f t="shared" si="10"/>
        <v/>
      </c>
      <c r="BJ40" s="28" t="str">
        <f t="shared" si="10"/>
        <v/>
      </c>
      <c r="BK40" s="28" t="str">
        <f t="shared" si="10"/>
        <v/>
      </c>
      <c r="BL40" s="28" t="str">
        <f t="shared" si="10"/>
        <v/>
      </c>
      <c r="BM40" s="28" t="str">
        <f t="shared" si="10"/>
        <v/>
      </c>
      <c r="BN40" s="28" t="str">
        <f t="shared" ref="BN40:CS40" si="11">IF(BN39="",BN38,IF(BN39=" ",BN38,BN39))</f>
        <v/>
      </c>
      <c r="BO40" s="28" t="str">
        <f t="shared" si="11"/>
        <v/>
      </c>
      <c r="BP40" s="28" t="str">
        <f t="shared" si="11"/>
        <v/>
      </c>
      <c r="BQ40" s="28" t="str">
        <f t="shared" si="11"/>
        <v/>
      </c>
      <c r="BR40" s="28" t="str">
        <f t="shared" si="11"/>
        <v/>
      </c>
      <c r="BS40" s="28" t="str">
        <f t="shared" si="11"/>
        <v/>
      </c>
      <c r="BT40" s="28" t="str">
        <f t="shared" si="11"/>
        <v/>
      </c>
      <c r="BU40" s="28" t="str">
        <f t="shared" si="11"/>
        <v/>
      </c>
      <c r="BV40" s="28" t="str">
        <f t="shared" si="11"/>
        <v/>
      </c>
      <c r="BW40" s="28" t="str">
        <f t="shared" si="11"/>
        <v/>
      </c>
      <c r="BX40" s="28" t="str">
        <f t="shared" si="11"/>
        <v/>
      </c>
      <c r="BY40" s="28" t="str">
        <f t="shared" si="11"/>
        <v/>
      </c>
      <c r="BZ40" s="28" t="str">
        <f t="shared" si="11"/>
        <v/>
      </c>
      <c r="CA40" s="28" t="str">
        <f t="shared" si="11"/>
        <v/>
      </c>
      <c r="CB40" s="28" t="str">
        <f t="shared" si="11"/>
        <v/>
      </c>
      <c r="CC40" s="28" t="str">
        <f t="shared" si="11"/>
        <v/>
      </c>
      <c r="CD40" s="28" t="str">
        <f t="shared" si="11"/>
        <v/>
      </c>
      <c r="CE40" s="28" t="str">
        <f t="shared" si="11"/>
        <v/>
      </c>
      <c r="CF40" s="28" t="str">
        <f t="shared" si="11"/>
        <v/>
      </c>
      <c r="CG40" s="28" t="str">
        <f t="shared" si="11"/>
        <v/>
      </c>
      <c r="CH40" s="28" t="str">
        <f t="shared" si="11"/>
        <v/>
      </c>
      <c r="CI40" s="28" t="str">
        <f t="shared" si="11"/>
        <v/>
      </c>
      <c r="CJ40" s="28" t="str">
        <f t="shared" si="11"/>
        <v/>
      </c>
      <c r="CK40" s="28" t="str">
        <f t="shared" si="11"/>
        <v/>
      </c>
      <c r="CL40" s="28" t="str">
        <f t="shared" si="11"/>
        <v/>
      </c>
      <c r="CM40" s="28" t="str">
        <f t="shared" si="11"/>
        <v/>
      </c>
      <c r="CN40" s="28" t="str">
        <f t="shared" si="11"/>
        <v/>
      </c>
      <c r="CO40" s="28" t="str">
        <f t="shared" si="11"/>
        <v/>
      </c>
      <c r="CP40" s="28" t="str">
        <f t="shared" si="11"/>
        <v/>
      </c>
      <c r="CQ40" s="28" t="str">
        <f t="shared" si="11"/>
        <v/>
      </c>
      <c r="CR40" s="28" t="str">
        <f t="shared" si="11"/>
        <v/>
      </c>
      <c r="CS40" s="28" t="str">
        <f t="shared" si="11"/>
        <v/>
      </c>
      <c r="CT40" s="28" t="str">
        <f>IF(CT39="",CT38,IF(CT39=" ",CT38,CT39))</f>
        <v/>
      </c>
      <c r="CU40" s="28" t="str">
        <f>IF(CU39="",CU38,IF(CU39=" ",CU38,CU39))</f>
        <v/>
      </c>
      <c r="CV40" s="28" t="str">
        <f>IF(CV39="",CV38,IF(CV39=" ",CV38,CV39))</f>
        <v/>
      </c>
      <c r="CW40" s="100" t="str">
        <f>IF(CW39="",CW38,IF(CW39=" ",CW38,CW39))</f>
        <v/>
      </c>
      <c r="CX40" s="22"/>
      <c r="CY40" s="22"/>
      <c r="CZ40" s="22"/>
    </row>
    <row r="41" spans="1:104" ht="20.100000000000001" customHeight="1">
      <c r="A41" s="114" t="s">
        <v>41</v>
      </c>
      <c r="B41" s="110">
        <v>0</v>
      </c>
      <c r="C41" s="85"/>
      <c r="D41" s="85"/>
      <c r="E41" s="85"/>
      <c r="F41" s="85"/>
      <c r="G41" s="85">
        <v>0</v>
      </c>
      <c r="H41" s="85"/>
      <c r="I41" s="85"/>
      <c r="J41" s="85">
        <v>0</v>
      </c>
      <c r="K41" s="85"/>
      <c r="L41" s="128"/>
      <c r="M41" s="128"/>
      <c r="N41" s="128">
        <v>0</v>
      </c>
      <c r="O41" s="128"/>
      <c r="P41" s="128"/>
      <c r="Q41" s="128">
        <v>0</v>
      </c>
      <c r="R41" s="128">
        <v>0.3</v>
      </c>
      <c r="S41" s="128">
        <v>0</v>
      </c>
      <c r="T41" s="128">
        <v>0.4</v>
      </c>
      <c r="U41" s="128"/>
      <c r="V41" s="128">
        <v>0</v>
      </c>
      <c r="W41" s="128"/>
      <c r="X41" s="128"/>
      <c r="Y41" s="128"/>
      <c r="Z41" s="128"/>
      <c r="AA41" s="128"/>
      <c r="AB41" s="128"/>
      <c r="AC41" s="128"/>
      <c r="AD41" s="128"/>
      <c r="AE41" s="128"/>
      <c r="AF41" s="128"/>
      <c r="AG41" s="128">
        <v>0</v>
      </c>
      <c r="AH41" s="128">
        <v>0</v>
      </c>
      <c r="AI41" s="128"/>
      <c r="AJ41" s="128">
        <v>-4</v>
      </c>
      <c r="AK41" s="128"/>
      <c r="AL41" s="128"/>
      <c r="AM41" s="129"/>
      <c r="AN41" s="129"/>
      <c r="AO41" s="128"/>
      <c r="AP41" s="129">
        <v>-1</v>
      </c>
      <c r="AQ41" s="129">
        <v>0</v>
      </c>
      <c r="AR41" s="129">
        <v>0.2</v>
      </c>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c r="BO41" s="129"/>
      <c r="BP41" s="129"/>
      <c r="BQ41" s="129"/>
      <c r="BR41" s="129"/>
      <c r="BS41" s="129"/>
      <c r="BT41" s="129"/>
      <c r="BU41" s="129"/>
      <c r="BV41" s="129"/>
      <c r="BW41" s="129"/>
      <c r="BX41" s="129"/>
      <c r="BY41" s="129"/>
      <c r="BZ41" s="129"/>
      <c r="CA41" s="129"/>
      <c r="CB41" s="129"/>
      <c r="CC41" s="129"/>
      <c r="CD41" s="129"/>
      <c r="CE41" s="129"/>
      <c r="CF41" s="129"/>
      <c r="CG41" s="129"/>
      <c r="CH41" s="129"/>
      <c r="CI41" s="129"/>
      <c r="CJ41" s="129"/>
      <c r="CK41" s="129"/>
      <c r="CL41" s="129"/>
      <c r="CM41" s="129"/>
      <c r="CN41" s="129"/>
      <c r="CO41" s="129"/>
      <c r="CP41" s="129"/>
      <c r="CQ41" s="129"/>
      <c r="CR41" s="129"/>
      <c r="CS41" s="129"/>
      <c r="CT41" s="129"/>
      <c r="CU41" s="129"/>
      <c r="CV41" s="85"/>
      <c r="CW41" s="85"/>
      <c r="CX41" s="23"/>
      <c r="CY41" s="23"/>
      <c r="CZ41" s="23"/>
    </row>
    <row r="42" spans="1:104" s="1" customFormat="1" ht="20.100000000000001" customHeight="1">
      <c r="A42" s="113" t="s">
        <v>42</v>
      </c>
      <c r="B42" s="109">
        <v>1</v>
      </c>
      <c r="C42" s="87"/>
      <c r="D42" s="87"/>
      <c r="E42" s="87"/>
      <c r="F42" s="87"/>
      <c r="G42" s="87">
        <v>1</v>
      </c>
      <c r="H42" s="87"/>
      <c r="I42" s="87"/>
      <c r="J42" s="87">
        <v>1</v>
      </c>
      <c r="K42" s="87"/>
      <c r="L42" s="131"/>
      <c r="M42" s="131"/>
      <c r="N42" s="131" t="s">
        <v>436</v>
      </c>
      <c r="O42" s="131"/>
      <c r="P42" s="131"/>
      <c r="Q42" s="131" t="s">
        <v>563</v>
      </c>
      <c r="R42" s="131" t="s">
        <v>436</v>
      </c>
      <c r="S42" s="131" t="s">
        <v>562</v>
      </c>
      <c r="T42" s="131" t="s">
        <v>436</v>
      </c>
      <c r="U42" s="131"/>
      <c r="V42" s="131" t="s">
        <v>556</v>
      </c>
      <c r="W42" s="131"/>
      <c r="X42" s="131"/>
      <c r="Y42" s="131"/>
      <c r="Z42" s="131"/>
      <c r="AA42" s="131"/>
      <c r="AB42" s="131"/>
      <c r="AC42" s="131"/>
      <c r="AD42" s="131"/>
      <c r="AE42" s="131"/>
      <c r="AF42" s="131"/>
      <c r="AG42" s="131" t="s">
        <v>584</v>
      </c>
      <c r="AH42" s="131" t="s">
        <v>585</v>
      </c>
      <c r="AI42" s="131"/>
      <c r="AJ42" s="131" t="s">
        <v>586</v>
      </c>
      <c r="AK42" s="131"/>
      <c r="AL42" s="131"/>
      <c r="AM42" s="131"/>
      <c r="AN42" s="131"/>
      <c r="AO42" s="131"/>
      <c r="AP42" s="131" t="s">
        <v>437</v>
      </c>
      <c r="AQ42" s="131" t="s">
        <v>436</v>
      </c>
      <c r="AR42" s="131" t="s">
        <v>436</v>
      </c>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87"/>
      <c r="CW42" s="87"/>
      <c r="CX42" s="22"/>
      <c r="CY42" s="22"/>
      <c r="CZ42" s="22"/>
    </row>
    <row r="43" spans="1:104" ht="20.100000000000001" customHeight="1">
      <c r="A43" s="114" t="s">
        <v>36</v>
      </c>
      <c r="B43" s="108">
        <f>IF(B41="","auto",IF(B41=" ","auto",B41))</f>
        <v>0</v>
      </c>
      <c r="C43" s="28" t="str">
        <f t="shared" ref="C43:BN43" si="12">IF(C41="","auto",IF(C41=" ","auto",C41))</f>
        <v>auto</v>
      </c>
      <c r="D43" s="28" t="str">
        <f t="shared" si="12"/>
        <v>auto</v>
      </c>
      <c r="E43" s="28" t="str">
        <f t="shared" si="12"/>
        <v>auto</v>
      </c>
      <c r="F43" s="28" t="str">
        <f t="shared" si="12"/>
        <v>auto</v>
      </c>
      <c r="G43" s="28">
        <f t="shared" si="12"/>
        <v>0</v>
      </c>
      <c r="H43" s="28" t="str">
        <f t="shared" si="12"/>
        <v>auto</v>
      </c>
      <c r="I43" s="28" t="str">
        <f t="shared" si="12"/>
        <v>auto</v>
      </c>
      <c r="J43" s="28">
        <f t="shared" si="12"/>
        <v>0</v>
      </c>
      <c r="K43" s="28" t="str">
        <f t="shared" si="12"/>
        <v>auto</v>
      </c>
      <c r="L43" s="28" t="str">
        <f t="shared" si="12"/>
        <v>auto</v>
      </c>
      <c r="M43" s="28" t="str">
        <f t="shared" si="12"/>
        <v>auto</v>
      </c>
      <c r="N43" s="28">
        <f t="shared" si="12"/>
        <v>0</v>
      </c>
      <c r="O43" s="28" t="str">
        <f t="shared" si="12"/>
        <v>auto</v>
      </c>
      <c r="P43" s="28" t="str">
        <f t="shared" si="12"/>
        <v>auto</v>
      </c>
      <c r="Q43" s="28">
        <f t="shared" si="12"/>
        <v>0</v>
      </c>
      <c r="R43" s="28">
        <f t="shared" si="12"/>
        <v>0.3</v>
      </c>
      <c r="S43" s="28">
        <f t="shared" si="12"/>
        <v>0</v>
      </c>
      <c r="T43" s="28">
        <f t="shared" si="12"/>
        <v>0.4</v>
      </c>
      <c r="U43" s="28" t="str">
        <f t="shared" si="12"/>
        <v>auto</v>
      </c>
      <c r="V43" s="28">
        <f t="shared" si="12"/>
        <v>0</v>
      </c>
      <c r="W43" s="28" t="str">
        <f t="shared" si="12"/>
        <v>auto</v>
      </c>
      <c r="X43" s="28" t="str">
        <f t="shared" si="12"/>
        <v>auto</v>
      </c>
      <c r="Y43" s="28" t="str">
        <f t="shared" si="12"/>
        <v>auto</v>
      </c>
      <c r="Z43" s="28" t="str">
        <f t="shared" si="12"/>
        <v>auto</v>
      </c>
      <c r="AA43" s="28" t="str">
        <f t="shared" si="12"/>
        <v>auto</v>
      </c>
      <c r="AB43" s="28" t="str">
        <f t="shared" si="12"/>
        <v>auto</v>
      </c>
      <c r="AC43" s="28" t="str">
        <f t="shared" si="12"/>
        <v>auto</v>
      </c>
      <c r="AD43" s="28" t="str">
        <f t="shared" si="12"/>
        <v>auto</v>
      </c>
      <c r="AE43" s="28" t="str">
        <f t="shared" si="12"/>
        <v>auto</v>
      </c>
      <c r="AF43" s="28" t="str">
        <f t="shared" si="12"/>
        <v>auto</v>
      </c>
      <c r="AG43" s="28">
        <f t="shared" si="12"/>
        <v>0</v>
      </c>
      <c r="AH43" s="28">
        <f t="shared" si="12"/>
        <v>0</v>
      </c>
      <c r="AI43" s="28" t="str">
        <f t="shared" si="12"/>
        <v>auto</v>
      </c>
      <c r="AJ43" s="28">
        <f t="shared" si="12"/>
        <v>-4</v>
      </c>
      <c r="AK43" s="28" t="str">
        <f t="shared" si="12"/>
        <v>auto</v>
      </c>
      <c r="AL43" s="28" t="str">
        <f t="shared" si="12"/>
        <v>auto</v>
      </c>
      <c r="AM43" s="28" t="str">
        <f t="shared" si="12"/>
        <v>auto</v>
      </c>
      <c r="AN43" s="28" t="str">
        <f t="shared" si="12"/>
        <v>auto</v>
      </c>
      <c r="AO43" s="28" t="str">
        <f t="shared" si="12"/>
        <v>auto</v>
      </c>
      <c r="AP43" s="28">
        <f t="shared" si="12"/>
        <v>-1</v>
      </c>
      <c r="AQ43" s="28">
        <f t="shared" si="12"/>
        <v>0</v>
      </c>
      <c r="AR43" s="28">
        <f t="shared" si="12"/>
        <v>0.2</v>
      </c>
      <c r="AS43" s="28" t="str">
        <f t="shared" si="12"/>
        <v>auto</v>
      </c>
      <c r="AT43" s="28" t="str">
        <f t="shared" si="12"/>
        <v>auto</v>
      </c>
      <c r="AU43" s="28" t="str">
        <f t="shared" si="12"/>
        <v>auto</v>
      </c>
      <c r="AV43" s="28" t="str">
        <f t="shared" si="12"/>
        <v>auto</v>
      </c>
      <c r="AW43" s="28" t="str">
        <f t="shared" si="12"/>
        <v>auto</v>
      </c>
      <c r="AX43" s="28" t="str">
        <f t="shared" si="12"/>
        <v>auto</v>
      </c>
      <c r="AY43" s="28" t="str">
        <f t="shared" si="12"/>
        <v>auto</v>
      </c>
      <c r="AZ43" s="28" t="str">
        <f t="shared" si="12"/>
        <v>auto</v>
      </c>
      <c r="BA43" s="28" t="str">
        <f t="shared" si="12"/>
        <v>auto</v>
      </c>
      <c r="BB43" s="28" t="str">
        <f t="shared" si="12"/>
        <v>auto</v>
      </c>
      <c r="BC43" s="28" t="str">
        <f t="shared" si="12"/>
        <v>auto</v>
      </c>
      <c r="BD43" s="28" t="str">
        <f t="shared" si="12"/>
        <v>auto</v>
      </c>
      <c r="BE43" s="28" t="str">
        <f t="shared" si="12"/>
        <v>auto</v>
      </c>
      <c r="BF43" s="28" t="str">
        <f t="shared" si="12"/>
        <v>auto</v>
      </c>
      <c r="BG43" s="28" t="str">
        <f t="shared" si="12"/>
        <v>auto</v>
      </c>
      <c r="BH43" s="28" t="str">
        <f t="shared" si="12"/>
        <v>auto</v>
      </c>
      <c r="BI43" s="28" t="str">
        <f t="shared" si="12"/>
        <v>auto</v>
      </c>
      <c r="BJ43" s="28" t="str">
        <f t="shared" si="12"/>
        <v>auto</v>
      </c>
      <c r="BK43" s="28" t="str">
        <f t="shared" si="12"/>
        <v>auto</v>
      </c>
      <c r="BL43" s="28" t="str">
        <f t="shared" si="12"/>
        <v>auto</v>
      </c>
      <c r="BM43" s="28" t="str">
        <f t="shared" si="12"/>
        <v>auto</v>
      </c>
      <c r="BN43" s="28" t="str">
        <f t="shared" si="12"/>
        <v>auto</v>
      </c>
      <c r="BO43" s="28" t="str">
        <f t="shared" ref="BO43:CW43" si="13">IF(BO41="","auto",IF(BO41=" ","auto",BO41))</f>
        <v>auto</v>
      </c>
      <c r="BP43" s="28" t="str">
        <f t="shared" si="13"/>
        <v>auto</v>
      </c>
      <c r="BQ43" s="28" t="str">
        <f t="shared" si="13"/>
        <v>auto</v>
      </c>
      <c r="BR43" s="28" t="str">
        <f t="shared" si="13"/>
        <v>auto</v>
      </c>
      <c r="BS43" s="28" t="str">
        <f t="shared" si="13"/>
        <v>auto</v>
      </c>
      <c r="BT43" s="28" t="str">
        <f t="shared" si="13"/>
        <v>auto</v>
      </c>
      <c r="BU43" s="28" t="str">
        <f t="shared" si="13"/>
        <v>auto</v>
      </c>
      <c r="BV43" s="28" t="str">
        <f t="shared" si="13"/>
        <v>auto</v>
      </c>
      <c r="BW43" s="28" t="str">
        <f t="shared" si="13"/>
        <v>auto</v>
      </c>
      <c r="BX43" s="28" t="str">
        <f t="shared" si="13"/>
        <v>auto</v>
      </c>
      <c r="BY43" s="28" t="str">
        <f t="shared" si="13"/>
        <v>auto</v>
      </c>
      <c r="BZ43" s="28" t="str">
        <f t="shared" si="13"/>
        <v>auto</v>
      </c>
      <c r="CA43" s="28" t="str">
        <f t="shared" si="13"/>
        <v>auto</v>
      </c>
      <c r="CB43" s="28" t="str">
        <f t="shared" si="13"/>
        <v>auto</v>
      </c>
      <c r="CC43" s="28" t="str">
        <f t="shared" si="13"/>
        <v>auto</v>
      </c>
      <c r="CD43" s="28" t="str">
        <f t="shared" si="13"/>
        <v>auto</v>
      </c>
      <c r="CE43" s="28" t="str">
        <f t="shared" si="13"/>
        <v>auto</v>
      </c>
      <c r="CF43" s="28" t="str">
        <f t="shared" si="13"/>
        <v>auto</v>
      </c>
      <c r="CG43" s="28" t="str">
        <f t="shared" si="13"/>
        <v>auto</v>
      </c>
      <c r="CH43" s="28" t="str">
        <f t="shared" si="13"/>
        <v>auto</v>
      </c>
      <c r="CI43" s="28" t="str">
        <f t="shared" si="13"/>
        <v>auto</v>
      </c>
      <c r="CJ43" s="28" t="str">
        <f t="shared" si="13"/>
        <v>auto</v>
      </c>
      <c r="CK43" s="28" t="str">
        <f t="shared" si="13"/>
        <v>auto</v>
      </c>
      <c r="CL43" s="28" t="str">
        <f t="shared" si="13"/>
        <v>auto</v>
      </c>
      <c r="CM43" s="28" t="str">
        <f t="shared" si="13"/>
        <v>auto</v>
      </c>
      <c r="CN43" s="28" t="str">
        <f t="shared" si="13"/>
        <v>auto</v>
      </c>
      <c r="CO43" s="28" t="str">
        <f t="shared" si="13"/>
        <v>auto</v>
      </c>
      <c r="CP43" s="28" t="str">
        <f t="shared" si="13"/>
        <v>auto</v>
      </c>
      <c r="CQ43" s="28" t="str">
        <f t="shared" si="13"/>
        <v>auto</v>
      </c>
      <c r="CR43" s="28" t="str">
        <f t="shared" si="13"/>
        <v>auto</v>
      </c>
      <c r="CS43" s="28" t="str">
        <f t="shared" si="13"/>
        <v>auto</v>
      </c>
      <c r="CT43" s="28" t="str">
        <f t="shared" si="13"/>
        <v>auto</v>
      </c>
      <c r="CU43" s="28" t="str">
        <f t="shared" si="13"/>
        <v>auto</v>
      </c>
      <c r="CV43" s="28" t="str">
        <f t="shared" si="13"/>
        <v>auto</v>
      </c>
      <c r="CW43" s="100" t="str">
        <f t="shared" si="13"/>
        <v>auto</v>
      </c>
      <c r="CX43" s="23"/>
      <c r="CY43" s="23"/>
      <c r="CZ43" s="23"/>
    </row>
    <row r="44" spans="1:104" s="1" customFormat="1" ht="20.100000000000001" customHeight="1" thickBot="1">
      <c r="A44" s="115" t="s">
        <v>37</v>
      </c>
      <c r="B44" s="111">
        <f>IF(B42="","auto",IF(B42=" ","auto",B42))</f>
        <v>1</v>
      </c>
      <c r="C44" s="101" t="str">
        <f t="shared" ref="C44:BN44" si="14">IF(C42="","auto",IF(C42=" ","auto",C42))</f>
        <v>auto</v>
      </c>
      <c r="D44" s="101" t="str">
        <f t="shared" si="14"/>
        <v>auto</v>
      </c>
      <c r="E44" s="101" t="str">
        <f t="shared" si="14"/>
        <v>auto</v>
      </c>
      <c r="F44" s="101" t="str">
        <f t="shared" si="14"/>
        <v>auto</v>
      </c>
      <c r="G44" s="101">
        <f t="shared" si="14"/>
        <v>1</v>
      </c>
      <c r="H44" s="101" t="str">
        <f t="shared" si="14"/>
        <v>auto</v>
      </c>
      <c r="I44" s="101" t="str">
        <f t="shared" si="14"/>
        <v>auto</v>
      </c>
      <c r="J44" s="101">
        <f t="shared" si="14"/>
        <v>1</v>
      </c>
      <c r="K44" s="101" t="str">
        <f t="shared" si="14"/>
        <v>auto</v>
      </c>
      <c r="L44" s="101" t="str">
        <f t="shared" si="14"/>
        <v>auto</v>
      </c>
      <c r="M44" s="101" t="str">
        <f t="shared" si="14"/>
        <v>auto</v>
      </c>
      <c r="N44" s="101" t="str">
        <f t="shared" si="14"/>
        <v>1</v>
      </c>
      <c r="O44" s="101" t="str">
        <f t="shared" si="14"/>
        <v>auto</v>
      </c>
      <c r="P44" s="101" t="str">
        <f t="shared" si="14"/>
        <v>auto</v>
      </c>
      <c r="Q44" s="101" t="str">
        <f t="shared" si="14"/>
        <v>160</v>
      </c>
      <c r="R44" s="101" t="str">
        <f t="shared" si="14"/>
        <v>1</v>
      </c>
      <c r="S44" s="101" t="str">
        <f t="shared" si="14"/>
        <v>2</v>
      </c>
      <c r="T44" s="101" t="str">
        <f t="shared" si="14"/>
        <v>1</v>
      </c>
      <c r="U44" s="101" t="str">
        <f t="shared" si="14"/>
        <v>auto</v>
      </c>
      <c r="V44" s="101" t="str">
        <f t="shared" si="14"/>
        <v>.04</v>
      </c>
      <c r="W44" s="101" t="str">
        <f t="shared" si="14"/>
        <v>auto</v>
      </c>
      <c r="X44" s="101" t="str">
        <f t="shared" si="14"/>
        <v>auto</v>
      </c>
      <c r="Y44" s="101" t="str">
        <f t="shared" si="14"/>
        <v>auto</v>
      </c>
      <c r="Z44" s="101" t="str">
        <f t="shared" si="14"/>
        <v>auto</v>
      </c>
      <c r="AA44" s="101" t="str">
        <f t="shared" si="14"/>
        <v>auto</v>
      </c>
      <c r="AB44" s="101" t="str">
        <f t="shared" si="14"/>
        <v>auto</v>
      </c>
      <c r="AC44" s="101" t="str">
        <f t="shared" si="14"/>
        <v>auto</v>
      </c>
      <c r="AD44" s="101" t="str">
        <f t="shared" si="14"/>
        <v>auto</v>
      </c>
      <c r="AE44" s="101" t="str">
        <f t="shared" si="14"/>
        <v>auto</v>
      </c>
      <c r="AF44" s="101" t="str">
        <f t="shared" si="14"/>
        <v>auto</v>
      </c>
      <c r="AG44" s="101" t="str">
        <f t="shared" si="14"/>
        <v>1.4</v>
      </c>
      <c r="AH44" s="101" t="str">
        <f t="shared" si="14"/>
        <v>25</v>
      </c>
      <c r="AI44" s="101" t="str">
        <f t="shared" si="14"/>
        <v>auto</v>
      </c>
      <c r="AJ44" s="101" t="str">
        <f t="shared" si="14"/>
        <v>0</v>
      </c>
      <c r="AK44" s="101" t="str">
        <f t="shared" si="14"/>
        <v>auto</v>
      </c>
      <c r="AL44" s="101" t="str">
        <f t="shared" si="14"/>
        <v>auto</v>
      </c>
      <c r="AM44" s="101" t="str">
        <f t="shared" si="14"/>
        <v>auto</v>
      </c>
      <c r="AN44" s="101" t="str">
        <f t="shared" si="14"/>
        <v>auto</v>
      </c>
      <c r="AO44" s="101" t="str">
        <f t="shared" si="14"/>
        <v>auto</v>
      </c>
      <c r="AP44" s="101" t="str">
        <f t="shared" si="14"/>
        <v>3</v>
      </c>
      <c r="AQ44" s="101" t="str">
        <f t="shared" si="14"/>
        <v>1</v>
      </c>
      <c r="AR44" s="101" t="str">
        <f t="shared" si="14"/>
        <v>1</v>
      </c>
      <c r="AS44" s="101" t="str">
        <f t="shared" si="14"/>
        <v>auto</v>
      </c>
      <c r="AT44" s="101" t="str">
        <f t="shared" si="14"/>
        <v>auto</v>
      </c>
      <c r="AU44" s="101" t="str">
        <f t="shared" si="14"/>
        <v>auto</v>
      </c>
      <c r="AV44" s="101" t="str">
        <f t="shared" si="14"/>
        <v>auto</v>
      </c>
      <c r="AW44" s="101" t="str">
        <f t="shared" si="14"/>
        <v>auto</v>
      </c>
      <c r="AX44" s="101" t="str">
        <f t="shared" si="14"/>
        <v>auto</v>
      </c>
      <c r="AY44" s="101" t="str">
        <f t="shared" si="14"/>
        <v>auto</v>
      </c>
      <c r="AZ44" s="101" t="str">
        <f t="shared" si="14"/>
        <v>auto</v>
      </c>
      <c r="BA44" s="101" t="str">
        <f t="shared" si="14"/>
        <v>auto</v>
      </c>
      <c r="BB44" s="101" t="str">
        <f t="shared" si="14"/>
        <v>auto</v>
      </c>
      <c r="BC44" s="101" t="str">
        <f t="shared" si="14"/>
        <v>auto</v>
      </c>
      <c r="BD44" s="101" t="str">
        <f t="shared" si="14"/>
        <v>auto</v>
      </c>
      <c r="BE44" s="101" t="str">
        <f t="shared" si="14"/>
        <v>auto</v>
      </c>
      <c r="BF44" s="101" t="str">
        <f t="shared" si="14"/>
        <v>auto</v>
      </c>
      <c r="BG44" s="101" t="str">
        <f t="shared" si="14"/>
        <v>auto</v>
      </c>
      <c r="BH44" s="101" t="str">
        <f t="shared" si="14"/>
        <v>auto</v>
      </c>
      <c r="BI44" s="101" t="str">
        <f t="shared" si="14"/>
        <v>auto</v>
      </c>
      <c r="BJ44" s="101" t="str">
        <f t="shared" si="14"/>
        <v>auto</v>
      </c>
      <c r="BK44" s="101" t="str">
        <f t="shared" si="14"/>
        <v>auto</v>
      </c>
      <c r="BL44" s="101" t="str">
        <f t="shared" si="14"/>
        <v>auto</v>
      </c>
      <c r="BM44" s="101" t="str">
        <f t="shared" si="14"/>
        <v>auto</v>
      </c>
      <c r="BN44" s="101" t="str">
        <f t="shared" si="14"/>
        <v>auto</v>
      </c>
      <c r="BO44" s="101" t="str">
        <f t="shared" ref="BO44:CW44" si="15">IF(BO42="","auto",IF(BO42=" ","auto",BO42))</f>
        <v>auto</v>
      </c>
      <c r="BP44" s="101" t="str">
        <f t="shared" si="15"/>
        <v>auto</v>
      </c>
      <c r="BQ44" s="101" t="str">
        <f t="shared" si="15"/>
        <v>auto</v>
      </c>
      <c r="BR44" s="101" t="str">
        <f t="shared" si="15"/>
        <v>auto</v>
      </c>
      <c r="BS44" s="101" t="str">
        <f t="shared" si="15"/>
        <v>auto</v>
      </c>
      <c r="BT44" s="101" t="str">
        <f t="shared" si="15"/>
        <v>auto</v>
      </c>
      <c r="BU44" s="101" t="str">
        <f t="shared" si="15"/>
        <v>auto</v>
      </c>
      <c r="BV44" s="101" t="str">
        <f t="shared" si="15"/>
        <v>auto</v>
      </c>
      <c r="BW44" s="101" t="str">
        <f t="shared" si="15"/>
        <v>auto</v>
      </c>
      <c r="BX44" s="101" t="str">
        <f t="shared" si="15"/>
        <v>auto</v>
      </c>
      <c r="BY44" s="101" t="str">
        <f t="shared" si="15"/>
        <v>auto</v>
      </c>
      <c r="BZ44" s="101" t="str">
        <f t="shared" si="15"/>
        <v>auto</v>
      </c>
      <c r="CA44" s="101" t="str">
        <f t="shared" si="15"/>
        <v>auto</v>
      </c>
      <c r="CB44" s="101" t="str">
        <f t="shared" si="15"/>
        <v>auto</v>
      </c>
      <c r="CC44" s="101" t="str">
        <f t="shared" si="15"/>
        <v>auto</v>
      </c>
      <c r="CD44" s="101" t="str">
        <f t="shared" si="15"/>
        <v>auto</v>
      </c>
      <c r="CE44" s="101" t="str">
        <f t="shared" si="15"/>
        <v>auto</v>
      </c>
      <c r="CF44" s="101" t="str">
        <f t="shared" si="15"/>
        <v>auto</v>
      </c>
      <c r="CG44" s="101" t="str">
        <f t="shared" si="15"/>
        <v>auto</v>
      </c>
      <c r="CH44" s="101" t="str">
        <f t="shared" si="15"/>
        <v>auto</v>
      </c>
      <c r="CI44" s="101" t="str">
        <f t="shared" si="15"/>
        <v>auto</v>
      </c>
      <c r="CJ44" s="101" t="str">
        <f t="shared" si="15"/>
        <v>auto</v>
      </c>
      <c r="CK44" s="101" t="str">
        <f t="shared" si="15"/>
        <v>auto</v>
      </c>
      <c r="CL44" s="101" t="str">
        <f t="shared" si="15"/>
        <v>auto</v>
      </c>
      <c r="CM44" s="101" t="str">
        <f t="shared" si="15"/>
        <v>auto</v>
      </c>
      <c r="CN44" s="101" t="str">
        <f t="shared" si="15"/>
        <v>auto</v>
      </c>
      <c r="CO44" s="101" t="str">
        <f t="shared" si="15"/>
        <v>auto</v>
      </c>
      <c r="CP44" s="101" t="str">
        <f t="shared" si="15"/>
        <v>auto</v>
      </c>
      <c r="CQ44" s="101" t="str">
        <f t="shared" si="15"/>
        <v>auto</v>
      </c>
      <c r="CR44" s="101" t="str">
        <f t="shared" si="15"/>
        <v>auto</v>
      </c>
      <c r="CS44" s="101" t="str">
        <f t="shared" si="15"/>
        <v>auto</v>
      </c>
      <c r="CT44" s="101" t="str">
        <f t="shared" si="15"/>
        <v>auto</v>
      </c>
      <c r="CU44" s="101" t="str">
        <f t="shared" si="15"/>
        <v>auto</v>
      </c>
      <c r="CV44" s="101" t="str">
        <f t="shared" si="15"/>
        <v>auto</v>
      </c>
      <c r="CW44" s="102" t="str">
        <f t="shared" si="15"/>
        <v>auto</v>
      </c>
      <c r="CX44" s="22"/>
      <c r="CY44" s="22"/>
      <c r="CZ44" s="22"/>
    </row>
    <row r="45" spans="1:104" ht="24.75" customHeight="1" thickBot="1">
      <c r="A45" s="103"/>
      <c r="B45" s="103"/>
      <c r="C45" s="103"/>
      <c r="D45" s="103"/>
      <c r="E45" s="103"/>
      <c r="F45" s="103"/>
      <c r="G45" s="103"/>
      <c r="H45" s="103"/>
      <c r="I45" s="103"/>
      <c r="J45" s="103"/>
      <c r="K45" s="103"/>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5"/>
      <c r="AN45" s="105"/>
      <c r="AO45" s="105"/>
      <c r="AP45" s="105"/>
      <c r="AQ45" s="105"/>
      <c r="AR45" s="105"/>
      <c r="AS45" s="105"/>
      <c r="AT45" s="105"/>
      <c r="AU45" s="105"/>
      <c r="AV45" s="105"/>
      <c r="AW45" s="105"/>
      <c r="AX45" s="105"/>
      <c r="AY45" s="105"/>
      <c r="AZ45" s="105"/>
      <c r="BA45" s="105"/>
      <c r="BB45" s="105"/>
      <c r="BC45" s="105"/>
      <c r="BD45" s="105"/>
      <c r="BE45" s="105"/>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S45" s="23"/>
      <c r="CT45" s="23"/>
      <c r="CU45" s="23"/>
      <c r="CV45" s="23"/>
      <c r="CW45" s="23"/>
      <c r="CX45" s="23"/>
      <c r="CY45" s="23"/>
      <c r="CZ45" s="23"/>
    </row>
    <row r="46" spans="1:104" ht="20.100000000000001" customHeight="1">
      <c r="A46" s="112" t="s">
        <v>0</v>
      </c>
      <c r="B46" s="107" t="str">
        <f>Control!Z10</f>
        <v>201    (Column GS)</v>
      </c>
      <c r="C46" s="107" t="str">
        <f>Control!AA10</f>
        <v>202    (Column GT)</v>
      </c>
      <c r="D46" s="107" t="str">
        <f>Control!AB10</f>
        <v>203    (Column GU)</v>
      </c>
      <c r="E46" s="107" t="str">
        <f>Control!AC10</f>
        <v>204    (Column GV)</v>
      </c>
      <c r="F46" s="107" t="str">
        <f>Control!AD10</f>
        <v>205    (Column GW)</v>
      </c>
      <c r="G46" s="107" t="str">
        <f>Control!AE10</f>
        <v>206    (Column GX)</v>
      </c>
      <c r="H46" s="107" t="str">
        <f>Control!AF10</f>
        <v>207    (Column GY)</v>
      </c>
      <c r="I46" s="107" t="str">
        <f>Control!AG10</f>
        <v>208    (Column GZ)</v>
      </c>
      <c r="J46" s="107" t="str">
        <f>Control!AH10</f>
        <v>209    (Column HA)</v>
      </c>
      <c r="K46" s="107" t="str">
        <f>Control!AI10</f>
        <v>210    (Column HB)</v>
      </c>
      <c r="L46" s="96" t="str">
        <f>Control!Z13</f>
        <v>211    (Column HC)</v>
      </c>
      <c r="M46" s="96" t="str">
        <f>Control!AA13</f>
        <v>212    (Column HD)</v>
      </c>
      <c r="N46" s="96" t="str">
        <f>Control!AB13</f>
        <v>213    (Column HE)</v>
      </c>
      <c r="O46" s="96" t="str">
        <f>Control!AC13</f>
        <v>214    (Column HF)</v>
      </c>
      <c r="P46" s="96" t="str">
        <f>Control!AD13</f>
        <v>215    (Column HG)</v>
      </c>
      <c r="Q46" s="96" t="str">
        <f>Control!AE13</f>
        <v>216    (Column HH)</v>
      </c>
      <c r="R46" s="96" t="str">
        <f>Control!AF13</f>
        <v>217    (Column HI)</v>
      </c>
      <c r="S46" s="96" t="str">
        <f>Control!AG13</f>
        <v>218    (Column HJ)</v>
      </c>
      <c r="T46" s="96" t="str">
        <f>Control!AH13</f>
        <v>219    (Column HK)</v>
      </c>
      <c r="U46" s="96" t="str">
        <f>Control!AI13</f>
        <v>220    (Column HL)</v>
      </c>
      <c r="V46" s="96" t="str">
        <f>Control!Z16</f>
        <v>221    (Column HM)</v>
      </c>
      <c r="W46" s="96" t="str">
        <f>Control!AA16</f>
        <v>222    (Column HN)</v>
      </c>
      <c r="X46" s="96" t="str">
        <f>Control!AB16</f>
        <v>223    (Column HO)</v>
      </c>
      <c r="Y46" s="96" t="str">
        <f>Control!AC16</f>
        <v>224    (Column HP)</v>
      </c>
      <c r="Z46" s="96" t="str">
        <f>Control!AD16</f>
        <v>225    (Column HQ)</v>
      </c>
      <c r="AA46" s="96" t="str">
        <f>Control!AE16</f>
        <v>226    (Column HR)</v>
      </c>
      <c r="AB46" s="96" t="str">
        <f>Control!AF16</f>
        <v>227    (Column HS)</v>
      </c>
      <c r="AC46" s="96" t="str">
        <f>Control!AG16</f>
        <v>228    (Column HT)</v>
      </c>
      <c r="AD46" s="96" t="str">
        <f>Control!AH16</f>
        <v>229    (Column HU)</v>
      </c>
      <c r="AE46" s="96" t="str">
        <f>Control!AI16</f>
        <v>230    (Column HV)</v>
      </c>
      <c r="AF46" s="96" t="str">
        <f>Control!Z19</f>
        <v>231    (Column HW)</v>
      </c>
      <c r="AG46" s="96" t="str">
        <f>Control!AA19</f>
        <v>232    (Column HX)</v>
      </c>
      <c r="AH46" s="96" t="str">
        <f>Control!AB19</f>
        <v>233    (Column HY)</v>
      </c>
      <c r="AI46" s="96" t="str">
        <f>Control!AC19</f>
        <v>234    (Column HZ)</v>
      </c>
      <c r="AJ46" s="96" t="str">
        <f>Control!AD19</f>
        <v>235    (Column IA)</v>
      </c>
      <c r="AK46" s="96" t="str">
        <f>Control!AE19</f>
        <v>236    (Column IB)</v>
      </c>
      <c r="AL46" s="96" t="str">
        <f>Control!AF19</f>
        <v>237    (Column IC)</v>
      </c>
      <c r="AM46" s="96" t="str">
        <f>Control!AG19</f>
        <v>238    (Column ID)</v>
      </c>
      <c r="AN46" s="96" t="str">
        <f>Control!AH19</f>
        <v>239    (Column IE)</v>
      </c>
      <c r="AO46" s="96" t="str">
        <f>Control!AI19</f>
        <v>240    (Column IF)</v>
      </c>
      <c r="AP46" s="96" t="str">
        <f>Control!Z22</f>
        <v>241    (Column IG)</v>
      </c>
      <c r="AQ46" s="96" t="str">
        <f>Control!AA22</f>
        <v>242    (Column IH)</v>
      </c>
      <c r="AR46" s="96" t="str">
        <f>Control!AB22</f>
        <v>243    (Column II)</v>
      </c>
      <c r="AS46" s="96" t="str">
        <f>Control!AC22</f>
        <v>244    (Column IJ)</v>
      </c>
      <c r="AT46" s="96" t="str">
        <f>Control!AD22</f>
        <v>245    (Column IK)</v>
      </c>
      <c r="AU46" s="96" t="str">
        <f>Control!AE22</f>
        <v>246    (Column IL)</v>
      </c>
      <c r="AV46" s="96" t="str">
        <f>Control!AF22</f>
        <v>247    (Column IM)</v>
      </c>
      <c r="AW46" s="96" t="str">
        <f>Control!AG22</f>
        <v>248    (Column IN)</v>
      </c>
      <c r="AX46" s="96" t="str">
        <f>Control!AH22</f>
        <v>249    (Column IO)</v>
      </c>
      <c r="AY46" s="96" t="str">
        <f>Control!AI22</f>
        <v>250    (Column IP)</v>
      </c>
      <c r="AZ46" s="96" t="str">
        <f>Control!Z25</f>
        <v>251    (Column IQ)</v>
      </c>
      <c r="BA46" s="96" t="str">
        <f>Control!AA25</f>
        <v>252    (Column IR)</v>
      </c>
      <c r="BB46" s="96" t="str">
        <f>Control!AB25</f>
        <v>253    (Column IS)</v>
      </c>
      <c r="BC46" s="96" t="str">
        <f>Control!AC25</f>
        <v>254    (Column IT)</v>
      </c>
      <c r="BD46" s="96" t="str">
        <f>Control!AD25</f>
        <v>255    (Column IU)</v>
      </c>
      <c r="BE46" s="231" t="str">
        <f>Control!AE25</f>
        <v>256    (Column IV)</v>
      </c>
      <c r="BF46" s="235"/>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3"/>
      <c r="CY46" s="23"/>
      <c r="CZ46" s="23"/>
    </row>
    <row r="47" spans="1:104" s="1" customFormat="1" ht="50.1" customHeight="1">
      <c r="A47" s="113" t="s">
        <v>1</v>
      </c>
      <c r="B47" s="108" t="str">
        <f>IF(Control!Z11="","",Control!Z11)</f>
        <v/>
      </c>
      <c r="C47" s="108" t="str">
        <f>IF(Control!AA11="","",Control!AA11)</f>
        <v/>
      </c>
      <c r="D47" s="108" t="str">
        <f>IF(Control!AB11="","",Control!AB11)</f>
        <v/>
      </c>
      <c r="E47" s="108" t="str">
        <f>IF(Control!AC11="","",Control!AC11)</f>
        <v/>
      </c>
      <c r="F47" s="108" t="str">
        <f>IF(Control!AD11="","",Control!AD11)</f>
        <v/>
      </c>
      <c r="G47" s="108" t="str">
        <f>IF(Control!AE11="","",Control!AE11)</f>
        <v/>
      </c>
      <c r="H47" s="108" t="str">
        <f>IF(Control!AF11="","",Control!AF11)</f>
        <v/>
      </c>
      <c r="I47" s="108" t="str">
        <f>IF(Control!AG11="","",Control!AG11)</f>
        <v/>
      </c>
      <c r="J47" s="108" t="str">
        <f>IF(Control!AH11="","",Control!AH11)</f>
        <v/>
      </c>
      <c r="K47" s="108" t="str">
        <f>IF(Control!AI11="","",Control!AI11)</f>
        <v/>
      </c>
      <c r="L47" s="108" t="str">
        <f>IF(Control!Z14="","",Control!Z14)</f>
        <v/>
      </c>
      <c r="M47" s="108" t="str">
        <f>IF(Control!AA14="","",Control!AA14)</f>
        <v/>
      </c>
      <c r="N47" s="108" t="str">
        <f>IF(Control!AB14="","",Control!AB14)</f>
        <v/>
      </c>
      <c r="O47" s="108" t="str">
        <f>IF(Control!AC14="","",Control!AC14)</f>
        <v/>
      </c>
      <c r="P47" s="108" t="str">
        <f>IF(Control!AD14="","",Control!AD14)</f>
        <v/>
      </c>
      <c r="Q47" s="108" t="str">
        <f>IF(Control!AE14="","",Control!AE14)</f>
        <v/>
      </c>
      <c r="R47" s="108" t="str">
        <f>IF(Control!AF14="","",Control!AF14)</f>
        <v/>
      </c>
      <c r="S47" s="108" t="str">
        <f>IF(Control!AG14="","",Control!AG14)</f>
        <v/>
      </c>
      <c r="T47" s="108" t="str">
        <f>IF(Control!AH14="","",Control!AH14)</f>
        <v/>
      </c>
      <c r="U47" s="108" t="str">
        <f>IF(Control!AI14="","",Control!AI14)</f>
        <v/>
      </c>
      <c r="V47" s="108" t="str">
        <f>IF(Control!Z17="","",Control!Z17)</f>
        <v/>
      </c>
      <c r="W47" s="108" t="str">
        <f>IF(Control!AA17="","",Control!AA17)</f>
        <v/>
      </c>
      <c r="X47" s="108" t="str">
        <f>IF(Control!AB17="","",Control!AB17)</f>
        <v/>
      </c>
      <c r="Y47" s="108" t="str">
        <f>IF(Control!AC17="","",Control!AC17)</f>
        <v/>
      </c>
      <c r="Z47" s="108" t="str">
        <f>IF(Control!AD17="","",Control!AD17)</f>
        <v/>
      </c>
      <c r="AA47" s="108" t="str">
        <f>IF(Control!AE17="","",Control!AE17)</f>
        <v/>
      </c>
      <c r="AB47" s="108" t="str">
        <f>IF(Control!AF17="","",Control!AF17)</f>
        <v/>
      </c>
      <c r="AC47" s="108" t="str">
        <f>IF(Control!AG17="","",Control!AG17)</f>
        <v/>
      </c>
      <c r="AD47" s="108" t="str">
        <f>IF(Control!AH17="","",Control!AH17)</f>
        <v/>
      </c>
      <c r="AE47" s="108" t="str">
        <f>IF(Control!AI17="","",Control!AI17)</f>
        <v/>
      </c>
      <c r="AF47" s="108" t="str">
        <f>IF(Control!Z20="","",Control!Z20)</f>
        <v/>
      </c>
      <c r="AG47" s="108" t="str">
        <f>IF(Control!AA20="","",Control!AA20)</f>
        <v/>
      </c>
      <c r="AH47" s="108" t="str">
        <f>IF(Control!AB20="","",Control!AB20)</f>
        <v/>
      </c>
      <c r="AI47" s="108" t="str">
        <f>IF(Control!AC20="","",Control!AC20)</f>
        <v/>
      </c>
      <c r="AJ47" s="108" t="str">
        <f>IF(Control!AD20="","",Control!AD20)</f>
        <v/>
      </c>
      <c r="AK47" s="108" t="str">
        <f>IF(Control!AE20="","",Control!AE20)</f>
        <v/>
      </c>
      <c r="AL47" s="108" t="str">
        <f>IF(Control!AF20="","",Control!AF20)</f>
        <v/>
      </c>
      <c r="AM47" s="108" t="str">
        <f>IF(Control!AG20="","",Control!AG20)</f>
        <v/>
      </c>
      <c r="AN47" s="108" t="str">
        <f>IF(Control!AH20="","",Control!AH20)</f>
        <v/>
      </c>
      <c r="AO47" s="108" t="str">
        <f>IF(Control!AI20="","",Control!AI20)</f>
        <v/>
      </c>
      <c r="AP47" s="108" t="str">
        <f>IF(Control!Z23="","",Control!Z23)</f>
        <v/>
      </c>
      <c r="AQ47" s="108" t="str">
        <f>IF(Control!AA23="","",Control!AA23)</f>
        <v/>
      </c>
      <c r="AR47" s="108" t="str">
        <f>IF(Control!AB23="","",Control!AB23)</f>
        <v/>
      </c>
      <c r="AS47" s="108" t="str">
        <f>IF(Control!AC23="","",Control!AC23)</f>
        <v/>
      </c>
      <c r="AT47" s="108" t="str">
        <f>IF(Control!AD23="","",Control!AD23)</f>
        <v/>
      </c>
      <c r="AU47" s="108" t="str">
        <f>IF(Control!AE23="","",Control!AE23)</f>
        <v/>
      </c>
      <c r="AV47" s="108" t="str">
        <f>IF(Control!AF23="","",Control!AF23)</f>
        <v/>
      </c>
      <c r="AW47" s="108" t="str">
        <f>IF(Control!AG23="","",Control!AG23)</f>
        <v/>
      </c>
      <c r="AX47" s="108" t="str">
        <f>IF(Control!AH23="","",Control!AH23)</f>
        <v/>
      </c>
      <c r="AY47" s="108" t="str">
        <f>IF(Control!AI23="","",Control!AI23)</f>
        <v/>
      </c>
      <c r="AZ47" s="108" t="str">
        <f>IF(Control!Z26="","",Control!Z26)</f>
        <v/>
      </c>
      <c r="BA47" s="108" t="str">
        <f>IF(Control!AA26="","",Control!AA26)</f>
        <v/>
      </c>
      <c r="BB47" s="108" t="str">
        <f>IF(Control!AB26="","",Control!AB26)</f>
        <v/>
      </c>
      <c r="BC47" s="108" t="str">
        <f>IF(Control!AC26="","",Control!AC26)</f>
        <v/>
      </c>
      <c r="BD47" s="108" t="str">
        <f>IF(Control!AD26="","",Control!AD26)</f>
        <v/>
      </c>
      <c r="BE47" s="233" t="str">
        <f>IF(Control!AE26="","",Control!AE26)</f>
        <v/>
      </c>
      <c r="BF47" s="236"/>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2"/>
      <c r="CY47" s="22"/>
      <c r="CZ47" s="22"/>
    </row>
    <row r="48" spans="1:104" ht="50.1" customHeight="1">
      <c r="A48" s="116" t="s">
        <v>33</v>
      </c>
      <c r="B48" s="109"/>
      <c r="C48" s="87"/>
      <c r="D48" s="87"/>
      <c r="E48" s="87"/>
      <c r="F48" s="87"/>
      <c r="G48" s="87"/>
      <c r="H48" s="87"/>
      <c r="I48" s="87"/>
      <c r="J48" s="87"/>
      <c r="K48" s="8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c r="AL48" s="237"/>
      <c r="AM48" s="238"/>
      <c r="AN48" s="238"/>
      <c r="AO48" s="238"/>
      <c r="AP48" s="238"/>
      <c r="AQ48" s="238"/>
      <c r="AR48" s="238"/>
      <c r="AS48" s="238"/>
      <c r="AT48" s="238"/>
      <c r="AU48" s="238"/>
      <c r="AV48" s="238"/>
      <c r="AW48" s="238"/>
      <c r="AX48" s="238"/>
      <c r="AY48" s="238"/>
      <c r="AZ48" s="238"/>
      <c r="BA48" s="238"/>
      <c r="BB48" s="238"/>
      <c r="BC48" s="238"/>
      <c r="BD48" s="238"/>
      <c r="BE48" s="239"/>
      <c r="BF48" s="95"/>
      <c r="BG48" s="95"/>
      <c r="BH48" s="95"/>
      <c r="BI48" s="95"/>
      <c r="BJ48" s="95"/>
      <c r="BK48" s="95"/>
      <c r="BL48" s="95"/>
      <c r="BM48" s="95"/>
      <c r="BN48" s="95"/>
      <c r="BO48" s="95"/>
      <c r="BP48" s="95"/>
      <c r="BQ48" s="95"/>
      <c r="BR48" s="95"/>
      <c r="BS48" s="95"/>
      <c r="BT48" s="95"/>
      <c r="BU48" s="95"/>
      <c r="BV48" s="95"/>
      <c r="BW48" s="95"/>
      <c r="BX48" s="95"/>
      <c r="BY48" s="95"/>
      <c r="BZ48" s="95"/>
      <c r="CA48" s="95"/>
      <c r="CB48" s="95"/>
      <c r="CC48" s="95"/>
      <c r="CD48" s="95"/>
      <c r="CE48" s="95"/>
      <c r="CF48" s="95"/>
      <c r="CG48" s="95"/>
      <c r="CH48" s="95"/>
      <c r="CI48" s="95"/>
      <c r="CJ48" s="95"/>
      <c r="CK48" s="95"/>
      <c r="CL48" s="95"/>
      <c r="CM48" s="95"/>
      <c r="CN48" s="95"/>
      <c r="CO48" s="95"/>
      <c r="CP48" s="95"/>
      <c r="CQ48" s="95"/>
      <c r="CR48" s="95"/>
      <c r="CS48" s="95"/>
      <c r="CT48" s="95"/>
      <c r="CU48" s="95"/>
      <c r="CV48" s="95"/>
      <c r="CW48" s="95"/>
      <c r="CX48" s="23"/>
      <c r="CY48" s="23"/>
      <c r="CZ48" s="23"/>
    </row>
    <row r="49" spans="1:104" s="1" customFormat="1" ht="50.1" customHeight="1">
      <c r="A49" s="113" t="s">
        <v>34</v>
      </c>
      <c r="B49" s="108" t="str">
        <f t="shared" ref="B49:AG49" si="16">IF(B48="",B47,IF(B48=" ",B47,B48))</f>
        <v/>
      </c>
      <c r="C49" s="28" t="str">
        <f t="shared" si="16"/>
        <v/>
      </c>
      <c r="D49" s="28" t="str">
        <f t="shared" si="16"/>
        <v/>
      </c>
      <c r="E49" s="28" t="str">
        <f t="shared" si="16"/>
        <v/>
      </c>
      <c r="F49" s="28" t="str">
        <f t="shared" si="16"/>
        <v/>
      </c>
      <c r="G49" s="28" t="str">
        <f t="shared" si="16"/>
        <v/>
      </c>
      <c r="H49" s="28" t="str">
        <f t="shared" si="16"/>
        <v/>
      </c>
      <c r="I49" s="28" t="str">
        <f t="shared" si="16"/>
        <v/>
      </c>
      <c r="J49" s="28" t="str">
        <f t="shared" si="16"/>
        <v/>
      </c>
      <c r="K49" s="28" t="str">
        <f t="shared" si="16"/>
        <v/>
      </c>
      <c r="L49" s="28" t="str">
        <f t="shared" si="16"/>
        <v/>
      </c>
      <c r="M49" s="28" t="str">
        <f t="shared" si="16"/>
        <v/>
      </c>
      <c r="N49" s="28" t="str">
        <f t="shared" si="16"/>
        <v/>
      </c>
      <c r="O49" s="28" t="str">
        <f t="shared" si="16"/>
        <v/>
      </c>
      <c r="P49" s="28" t="str">
        <f t="shared" si="16"/>
        <v/>
      </c>
      <c r="Q49" s="28" t="str">
        <f t="shared" si="16"/>
        <v/>
      </c>
      <c r="R49" s="28" t="str">
        <f t="shared" si="16"/>
        <v/>
      </c>
      <c r="S49" s="28" t="str">
        <f t="shared" si="16"/>
        <v/>
      </c>
      <c r="T49" s="28" t="str">
        <f t="shared" si="16"/>
        <v/>
      </c>
      <c r="U49" s="28" t="str">
        <f t="shared" si="16"/>
        <v/>
      </c>
      <c r="V49" s="28" t="str">
        <f t="shared" si="16"/>
        <v/>
      </c>
      <c r="W49" s="28" t="str">
        <f t="shared" si="16"/>
        <v/>
      </c>
      <c r="X49" s="28" t="str">
        <f t="shared" si="16"/>
        <v/>
      </c>
      <c r="Y49" s="28" t="str">
        <f t="shared" si="16"/>
        <v/>
      </c>
      <c r="Z49" s="28" t="str">
        <f t="shared" si="16"/>
        <v/>
      </c>
      <c r="AA49" s="28" t="str">
        <f t="shared" si="16"/>
        <v/>
      </c>
      <c r="AB49" s="28" t="str">
        <f t="shared" si="16"/>
        <v/>
      </c>
      <c r="AC49" s="28" t="str">
        <f t="shared" si="16"/>
        <v/>
      </c>
      <c r="AD49" s="28" t="str">
        <f t="shared" si="16"/>
        <v/>
      </c>
      <c r="AE49" s="28" t="str">
        <f t="shared" si="16"/>
        <v/>
      </c>
      <c r="AF49" s="28" t="str">
        <f t="shared" si="16"/>
        <v/>
      </c>
      <c r="AG49" s="28" t="str">
        <f t="shared" si="16"/>
        <v/>
      </c>
      <c r="AH49" s="28" t="str">
        <f t="shared" ref="AH49:BE49" si="17">IF(AH48="",AH47,IF(AH48=" ",AH47,AH48))</f>
        <v/>
      </c>
      <c r="AI49" s="28" t="str">
        <f t="shared" si="17"/>
        <v/>
      </c>
      <c r="AJ49" s="28" t="str">
        <f t="shared" si="17"/>
        <v/>
      </c>
      <c r="AK49" s="28" t="str">
        <f t="shared" si="17"/>
        <v/>
      </c>
      <c r="AL49" s="28" t="str">
        <f t="shared" si="17"/>
        <v/>
      </c>
      <c r="AM49" s="28" t="str">
        <f t="shared" si="17"/>
        <v/>
      </c>
      <c r="AN49" s="28" t="str">
        <f t="shared" si="17"/>
        <v/>
      </c>
      <c r="AO49" s="28" t="str">
        <f t="shared" si="17"/>
        <v/>
      </c>
      <c r="AP49" s="28" t="str">
        <f t="shared" si="17"/>
        <v/>
      </c>
      <c r="AQ49" s="28" t="str">
        <f t="shared" si="17"/>
        <v/>
      </c>
      <c r="AR49" s="28" t="str">
        <f t="shared" si="17"/>
        <v/>
      </c>
      <c r="AS49" s="28" t="str">
        <f t="shared" si="17"/>
        <v/>
      </c>
      <c r="AT49" s="28" t="str">
        <f t="shared" si="17"/>
        <v/>
      </c>
      <c r="AU49" s="28" t="str">
        <f t="shared" si="17"/>
        <v/>
      </c>
      <c r="AV49" s="28" t="str">
        <f t="shared" si="17"/>
        <v/>
      </c>
      <c r="AW49" s="28" t="str">
        <f t="shared" si="17"/>
        <v/>
      </c>
      <c r="AX49" s="28" t="str">
        <f t="shared" si="17"/>
        <v/>
      </c>
      <c r="AY49" s="28" t="str">
        <f t="shared" si="17"/>
        <v/>
      </c>
      <c r="AZ49" s="28" t="str">
        <f t="shared" si="17"/>
        <v/>
      </c>
      <c r="BA49" s="28" t="str">
        <f t="shared" si="17"/>
        <v/>
      </c>
      <c r="BB49" s="28" t="str">
        <f t="shared" si="17"/>
        <v/>
      </c>
      <c r="BC49" s="28" t="str">
        <f t="shared" si="17"/>
        <v/>
      </c>
      <c r="BD49" s="28" t="str">
        <f t="shared" si="17"/>
        <v/>
      </c>
      <c r="BE49" s="100" t="str">
        <f t="shared" si="17"/>
        <v/>
      </c>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2"/>
      <c r="CY49" s="22"/>
      <c r="CZ49" s="22"/>
    </row>
    <row r="50" spans="1:104" ht="20.100000000000001" customHeight="1">
      <c r="A50" s="114" t="s">
        <v>41</v>
      </c>
      <c r="B50" s="85"/>
      <c r="C50" s="85"/>
      <c r="D50" s="85"/>
      <c r="E50" s="85"/>
      <c r="F50" s="85"/>
      <c r="G50" s="85"/>
      <c r="H50" s="85"/>
      <c r="I50" s="85"/>
      <c r="J50" s="85"/>
      <c r="K50" s="85"/>
      <c r="L50" s="85"/>
      <c r="M50" s="85"/>
      <c r="N50" s="85"/>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9"/>
      <c r="AN50" s="129"/>
      <c r="AO50" s="129"/>
      <c r="AP50" s="129"/>
      <c r="AQ50" s="129"/>
      <c r="AR50" s="129"/>
      <c r="AS50" s="129"/>
      <c r="AT50" s="129"/>
      <c r="AU50" s="129"/>
      <c r="AV50" s="129"/>
      <c r="AW50" s="129"/>
      <c r="AX50" s="129"/>
      <c r="AY50" s="129"/>
      <c r="AZ50" s="129"/>
      <c r="BA50" s="129"/>
      <c r="BB50" s="129"/>
      <c r="BC50" s="129"/>
      <c r="BD50" s="129"/>
      <c r="BE50" s="130"/>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c r="CP50" s="23"/>
      <c r="CQ50" s="23"/>
      <c r="CR50" s="23"/>
      <c r="CS50" s="23"/>
      <c r="CT50" s="23"/>
      <c r="CU50" s="23"/>
      <c r="CV50" s="23"/>
      <c r="CW50" s="23"/>
      <c r="CX50" s="23"/>
      <c r="CY50" s="23"/>
      <c r="CZ50" s="23"/>
    </row>
    <row r="51" spans="1:104" s="1" customFormat="1" ht="20.100000000000001" customHeight="1">
      <c r="A51" s="113" t="s">
        <v>42</v>
      </c>
      <c r="B51" s="87"/>
      <c r="C51" s="87"/>
      <c r="D51" s="87"/>
      <c r="E51" s="87"/>
      <c r="F51" s="87"/>
      <c r="G51" s="87"/>
      <c r="H51" s="87"/>
      <c r="I51" s="87"/>
      <c r="J51" s="87"/>
      <c r="K51" s="87"/>
      <c r="L51" s="87"/>
      <c r="M51" s="87"/>
      <c r="N51" s="87"/>
      <c r="O51" s="131"/>
      <c r="P51" s="131"/>
      <c r="Q51" s="131"/>
      <c r="R51" s="131"/>
      <c r="S51" s="131"/>
      <c r="T51" s="131"/>
      <c r="U51" s="131"/>
      <c r="V51" s="131"/>
      <c r="W51" s="131"/>
      <c r="X51" s="131"/>
      <c r="Y51" s="131"/>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c r="AY51" s="131"/>
      <c r="AZ51" s="131"/>
      <c r="BA51" s="131"/>
      <c r="BB51" s="131"/>
      <c r="BC51" s="131"/>
      <c r="BD51" s="131"/>
      <c r="BE51" s="13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pans="1:104" ht="20.100000000000001" customHeight="1">
      <c r="A52" s="114" t="s">
        <v>36</v>
      </c>
      <c r="B52" s="108" t="str">
        <f>IF(B50="","auto",IF(B50=" ","auto",B50))</f>
        <v>auto</v>
      </c>
      <c r="C52" s="28" t="str">
        <f t="shared" ref="C52:BE52" si="18">IF(C50="","auto",IF(C50=" ","auto",C50))</f>
        <v>auto</v>
      </c>
      <c r="D52" s="28" t="str">
        <f t="shared" si="18"/>
        <v>auto</v>
      </c>
      <c r="E52" s="28" t="str">
        <f t="shared" si="18"/>
        <v>auto</v>
      </c>
      <c r="F52" s="28" t="str">
        <f t="shared" si="18"/>
        <v>auto</v>
      </c>
      <c r="G52" s="28" t="str">
        <f t="shared" si="18"/>
        <v>auto</v>
      </c>
      <c r="H52" s="28" t="str">
        <f t="shared" si="18"/>
        <v>auto</v>
      </c>
      <c r="I52" s="28" t="str">
        <f t="shared" si="18"/>
        <v>auto</v>
      </c>
      <c r="J52" s="28" t="str">
        <f t="shared" si="18"/>
        <v>auto</v>
      </c>
      <c r="K52" s="28" t="str">
        <f t="shared" si="18"/>
        <v>auto</v>
      </c>
      <c r="L52" s="28" t="str">
        <f t="shared" si="18"/>
        <v>auto</v>
      </c>
      <c r="M52" s="28" t="str">
        <f t="shared" si="18"/>
        <v>auto</v>
      </c>
      <c r="N52" s="28" t="str">
        <f t="shared" si="18"/>
        <v>auto</v>
      </c>
      <c r="O52" s="28" t="str">
        <f t="shared" si="18"/>
        <v>auto</v>
      </c>
      <c r="P52" s="28" t="str">
        <f t="shared" si="18"/>
        <v>auto</v>
      </c>
      <c r="Q52" s="28" t="str">
        <f t="shared" si="18"/>
        <v>auto</v>
      </c>
      <c r="R52" s="28" t="str">
        <f t="shared" si="18"/>
        <v>auto</v>
      </c>
      <c r="S52" s="28" t="str">
        <f t="shared" si="18"/>
        <v>auto</v>
      </c>
      <c r="T52" s="28" t="str">
        <f t="shared" si="18"/>
        <v>auto</v>
      </c>
      <c r="U52" s="28" t="str">
        <f t="shared" si="18"/>
        <v>auto</v>
      </c>
      <c r="V52" s="28" t="str">
        <f t="shared" si="18"/>
        <v>auto</v>
      </c>
      <c r="W52" s="28" t="str">
        <f t="shared" si="18"/>
        <v>auto</v>
      </c>
      <c r="X52" s="28" t="str">
        <f t="shared" si="18"/>
        <v>auto</v>
      </c>
      <c r="Y52" s="28" t="str">
        <f t="shared" si="18"/>
        <v>auto</v>
      </c>
      <c r="Z52" s="28" t="str">
        <f t="shared" si="18"/>
        <v>auto</v>
      </c>
      <c r="AA52" s="28" t="str">
        <f t="shared" si="18"/>
        <v>auto</v>
      </c>
      <c r="AB52" s="28" t="str">
        <f t="shared" si="18"/>
        <v>auto</v>
      </c>
      <c r="AC52" s="28" t="str">
        <f t="shared" si="18"/>
        <v>auto</v>
      </c>
      <c r="AD52" s="28" t="str">
        <f t="shared" si="18"/>
        <v>auto</v>
      </c>
      <c r="AE52" s="28" t="str">
        <f t="shared" si="18"/>
        <v>auto</v>
      </c>
      <c r="AF52" s="28" t="str">
        <f t="shared" si="18"/>
        <v>auto</v>
      </c>
      <c r="AG52" s="28" t="str">
        <f t="shared" si="18"/>
        <v>auto</v>
      </c>
      <c r="AH52" s="28" t="str">
        <f t="shared" si="18"/>
        <v>auto</v>
      </c>
      <c r="AI52" s="28" t="str">
        <f t="shared" si="18"/>
        <v>auto</v>
      </c>
      <c r="AJ52" s="28" t="str">
        <f t="shared" si="18"/>
        <v>auto</v>
      </c>
      <c r="AK52" s="28" t="str">
        <f t="shared" si="18"/>
        <v>auto</v>
      </c>
      <c r="AL52" s="28" t="str">
        <f t="shared" si="18"/>
        <v>auto</v>
      </c>
      <c r="AM52" s="28" t="str">
        <f t="shared" si="18"/>
        <v>auto</v>
      </c>
      <c r="AN52" s="28" t="str">
        <f t="shared" si="18"/>
        <v>auto</v>
      </c>
      <c r="AO52" s="28" t="str">
        <f t="shared" si="18"/>
        <v>auto</v>
      </c>
      <c r="AP52" s="28" t="str">
        <f t="shared" si="18"/>
        <v>auto</v>
      </c>
      <c r="AQ52" s="28" t="str">
        <f t="shared" si="18"/>
        <v>auto</v>
      </c>
      <c r="AR52" s="28" t="str">
        <f t="shared" si="18"/>
        <v>auto</v>
      </c>
      <c r="AS52" s="28" t="str">
        <f t="shared" si="18"/>
        <v>auto</v>
      </c>
      <c r="AT52" s="28" t="str">
        <f t="shared" si="18"/>
        <v>auto</v>
      </c>
      <c r="AU52" s="28" t="str">
        <f t="shared" si="18"/>
        <v>auto</v>
      </c>
      <c r="AV52" s="28" t="str">
        <f t="shared" si="18"/>
        <v>auto</v>
      </c>
      <c r="AW52" s="28" t="str">
        <f t="shared" si="18"/>
        <v>auto</v>
      </c>
      <c r="AX52" s="28" t="str">
        <f t="shared" si="18"/>
        <v>auto</v>
      </c>
      <c r="AY52" s="28" t="str">
        <f t="shared" si="18"/>
        <v>auto</v>
      </c>
      <c r="AZ52" s="28" t="str">
        <f t="shared" si="18"/>
        <v>auto</v>
      </c>
      <c r="BA52" s="28" t="str">
        <f t="shared" si="18"/>
        <v>auto</v>
      </c>
      <c r="BB52" s="28" t="str">
        <f t="shared" si="18"/>
        <v>auto</v>
      </c>
      <c r="BC52" s="28" t="str">
        <f t="shared" si="18"/>
        <v>auto</v>
      </c>
      <c r="BD52" s="28" t="str">
        <f t="shared" si="18"/>
        <v>auto</v>
      </c>
      <c r="BE52" s="100" t="str">
        <f t="shared" si="18"/>
        <v>auto</v>
      </c>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3"/>
      <c r="CY52" s="23"/>
      <c r="CZ52" s="23"/>
    </row>
    <row r="53" spans="1:104" s="1" customFormat="1" ht="20.100000000000001" customHeight="1" thickBot="1">
      <c r="A53" s="115" t="s">
        <v>37</v>
      </c>
      <c r="B53" s="111" t="str">
        <f>IF(B51="","auto",IF(B51=" ","auto",B51))</f>
        <v>auto</v>
      </c>
      <c r="C53" s="101" t="str">
        <f t="shared" ref="C53:BE53" si="19">IF(C51="","auto",IF(C51=" ","auto",C51))</f>
        <v>auto</v>
      </c>
      <c r="D53" s="101" t="str">
        <f t="shared" si="19"/>
        <v>auto</v>
      </c>
      <c r="E53" s="101" t="str">
        <f t="shared" si="19"/>
        <v>auto</v>
      </c>
      <c r="F53" s="101" t="str">
        <f t="shared" si="19"/>
        <v>auto</v>
      </c>
      <c r="G53" s="101" t="str">
        <f t="shared" si="19"/>
        <v>auto</v>
      </c>
      <c r="H53" s="101" t="str">
        <f t="shared" si="19"/>
        <v>auto</v>
      </c>
      <c r="I53" s="101" t="str">
        <f t="shared" si="19"/>
        <v>auto</v>
      </c>
      <c r="J53" s="101" t="str">
        <f t="shared" si="19"/>
        <v>auto</v>
      </c>
      <c r="K53" s="101" t="str">
        <f t="shared" si="19"/>
        <v>auto</v>
      </c>
      <c r="L53" s="101" t="str">
        <f t="shared" si="19"/>
        <v>auto</v>
      </c>
      <c r="M53" s="101" t="str">
        <f t="shared" si="19"/>
        <v>auto</v>
      </c>
      <c r="N53" s="101" t="str">
        <f t="shared" si="19"/>
        <v>auto</v>
      </c>
      <c r="O53" s="101" t="str">
        <f t="shared" si="19"/>
        <v>auto</v>
      </c>
      <c r="P53" s="101" t="str">
        <f t="shared" si="19"/>
        <v>auto</v>
      </c>
      <c r="Q53" s="101" t="str">
        <f t="shared" si="19"/>
        <v>auto</v>
      </c>
      <c r="R53" s="101" t="str">
        <f t="shared" si="19"/>
        <v>auto</v>
      </c>
      <c r="S53" s="101" t="str">
        <f t="shared" si="19"/>
        <v>auto</v>
      </c>
      <c r="T53" s="101" t="str">
        <f t="shared" si="19"/>
        <v>auto</v>
      </c>
      <c r="U53" s="101" t="str">
        <f t="shared" si="19"/>
        <v>auto</v>
      </c>
      <c r="V53" s="101" t="str">
        <f t="shared" si="19"/>
        <v>auto</v>
      </c>
      <c r="W53" s="101" t="str">
        <f t="shared" si="19"/>
        <v>auto</v>
      </c>
      <c r="X53" s="101" t="str">
        <f t="shared" si="19"/>
        <v>auto</v>
      </c>
      <c r="Y53" s="101" t="str">
        <f t="shared" si="19"/>
        <v>auto</v>
      </c>
      <c r="Z53" s="101" t="str">
        <f t="shared" si="19"/>
        <v>auto</v>
      </c>
      <c r="AA53" s="101" t="str">
        <f t="shared" si="19"/>
        <v>auto</v>
      </c>
      <c r="AB53" s="101" t="str">
        <f t="shared" si="19"/>
        <v>auto</v>
      </c>
      <c r="AC53" s="101" t="str">
        <f t="shared" si="19"/>
        <v>auto</v>
      </c>
      <c r="AD53" s="101" t="str">
        <f t="shared" si="19"/>
        <v>auto</v>
      </c>
      <c r="AE53" s="101" t="str">
        <f t="shared" si="19"/>
        <v>auto</v>
      </c>
      <c r="AF53" s="101" t="str">
        <f t="shared" si="19"/>
        <v>auto</v>
      </c>
      <c r="AG53" s="101" t="str">
        <f t="shared" si="19"/>
        <v>auto</v>
      </c>
      <c r="AH53" s="101" t="str">
        <f t="shared" si="19"/>
        <v>auto</v>
      </c>
      <c r="AI53" s="101" t="str">
        <f t="shared" si="19"/>
        <v>auto</v>
      </c>
      <c r="AJ53" s="101" t="str">
        <f t="shared" si="19"/>
        <v>auto</v>
      </c>
      <c r="AK53" s="101" t="str">
        <f t="shared" si="19"/>
        <v>auto</v>
      </c>
      <c r="AL53" s="101" t="str">
        <f t="shared" si="19"/>
        <v>auto</v>
      </c>
      <c r="AM53" s="101" t="str">
        <f t="shared" si="19"/>
        <v>auto</v>
      </c>
      <c r="AN53" s="101" t="str">
        <f t="shared" si="19"/>
        <v>auto</v>
      </c>
      <c r="AO53" s="101" t="str">
        <f t="shared" si="19"/>
        <v>auto</v>
      </c>
      <c r="AP53" s="101" t="str">
        <f t="shared" si="19"/>
        <v>auto</v>
      </c>
      <c r="AQ53" s="101" t="str">
        <f t="shared" si="19"/>
        <v>auto</v>
      </c>
      <c r="AR53" s="101" t="str">
        <f t="shared" si="19"/>
        <v>auto</v>
      </c>
      <c r="AS53" s="101" t="str">
        <f t="shared" si="19"/>
        <v>auto</v>
      </c>
      <c r="AT53" s="101" t="str">
        <f t="shared" si="19"/>
        <v>auto</v>
      </c>
      <c r="AU53" s="101" t="str">
        <f t="shared" si="19"/>
        <v>auto</v>
      </c>
      <c r="AV53" s="101" t="str">
        <f t="shared" si="19"/>
        <v>auto</v>
      </c>
      <c r="AW53" s="101" t="str">
        <f t="shared" si="19"/>
        <v>auto</v>
      </c>
      <c r="AX53" s="101" t="str">
        <f t="shared" si="19"/>
        <v>auto</v>
      </c>
      <c r="AY53" s="101" t="str">
        <f t="shared" si="19"/>
        <v>auto</v>
      </c>
      <c r="AZ53" s="101" t="str">
        <f t="shared" si="19"/>
        <v>auto</v>
      </c>
      <c r="BA53" s="101" t="str">
        <f t="shared" si="19"/>
        <v>auto</v>
      </c>
      <c r="BB53" s="101" t="str">
        <f t="shared" si="19"/>
        <v>auto</v>
      </c>
      <c r="BC53" s="101" t="str">
        <f t="shared" si="19"/>
        <v>auto</v>
      </c>
      <c r="BD53" s="101" t="str">
        <f t="shared" si="19"/>
        <v>auto</v>
      </c>
      <c r="BE53" s="102" t="str">
        <f t="shared" si="19"/>
        <v>auto</v>
      </c>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2"/>
      <c r="CY53" s="22"/>
      <c r="CZ53" s="22"/>
    </row>
    <row r="54" spans="1:104" s="1" customFormat="1" ht="20.100000000000001" customHeight="1">
      <c r="A54" s="106"/>
      <c r="B54" s="21"/>
      <c r="C54" s="21"/>
      <c r="D54" s="21"/>
      <c r="E54" s="21"/>
      <c r="F54" s="21"/>
      <c r="G54" s="21"/>
      <c r="H54" s="21"/>
      <c r="I54" s="21"/>
      <c r="J54" s="21"/>
      <c r="K54" s="21"/>
      <c r="L54" s="22"/>
      <c r="M54" s="22"/>
      <c r="N54" s="22"/>
      <c r="O54" s="22"/>
      <c r="P54" s="22"/>
      <c r="Q54" s="22"/>
      <c r="R54" s="22"/>
      <c r="S54" s="22"/>
      <c r="T54" s="22"/>
      <c r="U54" s="22"/>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pans="1:104">
      <c r="A55" s="80"/>
      <c r="B55" s="80"/>
      <c r="C55" s="80"/>
      <c r="D55" s="80"/>
      <c r="E55" s="80"/>
      <c r="F55" s="80"/>
      <c r="G55" s="80"/>
      <c r="H55" s="80"/>
      <c r="I55" s="80"/>
      <c r="J55" s="80"/>
      <c r="K55" s="80"/>
      <c r="L55" s="80"/>
      <c r="M55" s="80"/>
      <c r="N55" s="80"/>
      <c r="O55" s="80"/>
      <c r="P55" s="80"/>
      <c r="Q55" s="80"/>
      <c r="R55" s="80"/>
      <c r="S55" s="80"/>
      <c r="T55" s="80"/>
      <c r="U55" s="80"/>
      <c r="AZ55" s="80"/>
      <c r="BA55" s="80"/>
      <c r="BB55" s="80"/>
      <c r="BC55" s="80"/>
      <c r="BD55" s="80"/>
      <c r="BE55" s="80"/>
      <c r="BF55" s="80"/>
      <c r="BG55" s="80"/>
      <c r="BH55" s="80"/>
      <c r="BI55" s="80"/>
      <c r="BJ55" s="80"/>
      <c r="BK55" s="80"/>
      <c r="BL55" s="80"/>
      <c r="BM55" s="80"/>
      <c r="BN55" s="80"/>
      <c r="BO55" s="80"/>
      <c r="BP55" s="80"/>
      <c r="BQ55" s="80"/>
      <c r="BR55" s="80"/>
      <c r="BS55" s="80"/>
      <c r="BT55" s="80"/>
      <c r="BU55" s="80"/>
      <c r="BV55" s="80"/>
      <c r="BW55" s="80"/>
      <c r="BX55" s="80"/>
      <c r="BY55" s="80"/>
      <c r="BZ55" s="80"/>
      <c r="CA55" s="80"/>
      <c r="CB55" s="80"/>
      <c r="CC55" s="80"/>
      <c r="CD55" s="80"/>
      <c r="CE55" s="80"/>
      <c r="CF55" s="80"/>
      <c r="CG55" s="80"/>
      <c r="CH55" s="80"/>
      <c r="CI55" s="80"/>
      <c r="CJ55" s="80"/>
      <c r="CK55" s="80"/>
      <c r="CL55" s="80"/>
      <c r="CM55" s="80"/>
      <c r="CN55" s="80"/>
      <c r="CO55" s="80"/>
      <c r="CP55" s="80"/>
      <c r="CQ55" s="80"/>
      <c r="CR55" s="80"/>
      <c r="CS55" s="80"/>
      <c r="CT55" s="80"/>
      <c r="CU55" s="80"/>
      <c r="CV55" s="80"/>
      <c r="CW55" s="80"/>
      <c r="CX55" s="80"/>
      <c r="CY55" s="80"/>
      <c r="CZ55" s="80"/>
    </row>
    <row r="56" spans="1:104">
      <c r="A56" s="80"/>
      <c r="B56" s="80"/>
      <c r="C56" s="80"/>
      <c r="D56" s="80"/>
      <c r="E56" s="80"/>
      <c r="F56" s="80"/>
      <c r="G56" s="80"/>
      <c r="H56" s="80"/>
      <c r="I56" s="80"/>
      <c r="J56" s="80"/>
      <c r="K56" s="80"/>
      <c r="L56" s="80"/>
      <c r="M56" s="80"/>
      <c r="N56" s="80"/>
      <c r="O56" s="80"/>
      <c r="P56" s="80"/>
      <c r="Q56" s="80"/>
      <c r="R56" s="80"/>
      <c r="S56" s="80"/>
      <c r="T56" s="80"/>
      <c r="U56" s="80"/>
      <c r="AZ56" s="80"/>
      <c r="BA56" s="80"/>
      <c r="BB56" s="80"/>
      <c r="BC56" s="80"/>
      <c r="BD56" s="80"/>
      <c r="BE56" s="80"/>
      <c r="BF56" s="80"/>
      <c r="BG56" s="80"/>
      <c r="BH56" s="80"/>
      <c r="BI56" s="80"/>
      <c r="BJ56" s="80"/>
      <c r="BK56" s="80"/>
      <c r="BL56" s="80"/>
      <c r="BM56" s="80"/>
      <c r="BN56" s="80"/>
      <c r="BO56" s="80"/>
      <c r="BP56" s="80"/>
      <c r="BQ56" s="80"/>
      <c r="BR56" s="80"/>
      <c r="BS56" s="80"/>
      <c r="BT56" s="80"/>
      <c r="BU56" s="80"/>
      <c r="BV56" s="80"/>
      <c r="BW56" s="80"/>
      <c r="BX56" s="80"/>
      <c r="BY56" s="80"/>
      <c r="BZ56" s="80"/>
      <c r="CA56" s="80"/>
      <c r="CB56" s="80"/>
      <c r="CC56" s="80"/>
      <c r="CD56" s="80"/>
      <c r="CE56" s="80"/>
      <c r="CF56" s="80"/>
      <c r="CG56" s="80"/>
      <c r="CH56" s="80"/>
      <c r="CI56" s="80"/>
      <c r="CJ56" s="80"/>
      <c r="CK56" s="80"/>
      <c r="CL56" s="80"/>
      <c r="CM56" s="80"/>
      <c r="CN56" s="80"/>
      <c r="CO56" s="80"/>
      <c r="CP56" s="80"/>
      <c r="CQ56" s="80"/>
      <c r="CR56" s="80"/>
      <c r="CS56" s="80"/>
      <c r="CT56" s="80"/>
      <c r="CU56" s="80"/>
      <c r="CV56" s="80"/>
      <c r="CW56" s="80"/>
      <c r="CX56" s="80"/>
      <c r="CY56" s="80"/>
      <c r="CZ56" s="80"/>
    </row>
    <row r="57" spans="1:104">
      <c r="A57" s="80"/>
      <c r="B57" s="80"/>
      <c r="C57" s="80"/>
      <c r="D57" s="80"/>
      <c r="E57" s="80"/>
      <c r="F57" s="80"/>
      <c r="G57" s="80"/>
      <c r="H57" s="80"/>
      <c r="I57" s="80"/>
      <c r="J57" s="80"/>
      <c r="K57" s="80"/>
      <c r="L57" s="80"/>
      <c r="M57" s="80"/>
      <c r="N57" s="80"/>
      <c r="O57" s="80"/>
      <c r="P57" s="80"/>
      <c r="Q57" s="80"/>
      <c r="R57" s="80"/>
      <c r="S57" s="80"/>
      <c r="T57" s="80"/>
      <c r="U57" s="80"/>
      <c r="AZ57" s="80"/>
      <c r="BA57" s="80"/>
      <c r="BB57" s="80"/>
      <c r="BC57" s="80"/>
      <c r="BD57" s="80"/>
      <c r="BE57" s="80"/>
      <c r="BF57" s="80"/>
      <c r="BG57" s="80"/>
      <c r="BH57" s="80"/>
      <c r="BI57" s="80"/>
      <c r="BJ57" s="80"/>
      <c r="BK57" s="80"/>
      <c r="BL57" s="80"/>
      <c r="BM57" s="80"/>
      <c r="BN57" s="80"/>
      <c r="BO57" s="80"/>
      <c r="BP57" s="80"/>
      <c r="BQ57" s="80"/>
      <c r="BR57" s="80"/>
      <c r="BS57" s="80"/>
      <c r="BT57" s="80"/>
      <c r="BU57" s="80"/>
      <c r="BV57" s="80"/>
      <c r="BW57" s="80"/>
      <c r="BX57" s="80"/>
      <c r="BY57" s="80"/>
      <c r="BZ57" s="80"/>
      <c r="CA57" s="80"/>
      <c r="CB57" s="80"/>
      <c r="CC57" s="80"/>
      <c r="CD57" s="80"/>
      <c r="CE57" s="80"/>
      <c r="CF57" s="80"/>
      <c r="CG57" s="80"/>
      <c r="CH57" s="80"/>
      <c r="CI57" s="80"/>
      <c r="CJ57" s="80"/>
      <c r="CK57" s="80"/>
      <c r="CL57" s="80"/>
      <c r="CM57" s="80"/>
      <c r="CN57" s="80"/>
      <c r="CO57" s="80"/>
      <c r="CP57" s="80"/>
      <c r="CQ57" s="80"/>
      <c r="CR57" s="80"/>
      <c r="CS57" s="80"/>
      <c r="CT57" s="80"/>
      <c r="CU57" s="80"/>
      <c r="CV57" s="80"/>
      <c r="CW57" s="80"/>
      <c r="CX57" s="80"/>
      <c r="CY57" s="80"/>
      <c r="CZ57" s="80"/>
    </row>
    <row r="58" spans="1:104">
      <c r="A58" s="80"/>
      <c r="B58" s="80"/>
      <c r="C58" s="80"/>
      <c r="D58" s="80"/>
      <c r="E58" s="80"/>
      <c r="F58" s="80"/>
      <c r="G58" s="80"/>
      <c r="H58" s="80"/>
      <c r="I58" s="80"/>
      <c r="J58" s="80"/>
      <c r="K58" s="80"/>
      <c r="L58" s="80"/>
      <c r="M58" s="80"/>
      <c r="N58" s="80"/>
      <c r="O58" s="80"/>
      <c r="P58" s="80"/>
      <c r="Q58" s="80"/>
      <c r="R58" s="80"/>
      <c r="S58" s="80"/>
      <c r="T58" s="80"/>
      <c r="U58" s="80"/>
      <c r="AZ58" s="80"/>
      <c r="BA58" s="80"/>
      <c r="BB58" s="80"/>
      <c r="BC58" s="80"/>
      <c r="BD58" s="80"/>
      <c r="BE58" s="80"/>
      <c r="BF58" s="80"/>
      <c r="BG58" s="80"/>
      <c r="BH58" s="80"/>
      <c r="BI58" s="80"/>
      <c r="BJ58" s="80"/>
      <c r="BK58" s="80"/>
      <c r="BL58" s="80"/>
      <c r="BM58" s="80"/>
      <c r="BN58" s="80"/>
      <c r="BO58" s="80"/>
      <c r="BP58" s="80"/>
      <c r="BQ58" s="80"/>
      <c r="BR58" s="80"/>
      <c r="BS58" s="80"/>
      <c r="BT58" s="80"/>
      <c r="BU58" s="80"/>
      <c r="BV58" s="80"/>
      <c r="BW58" s="80"/>
      <c r="BX58" s="80"/>
      <c r="BY58" s="80"/>
      <c r="BZ58" s="80"/>
      <c r="CA58" s="80"/>
      <c r="CB58" s="80"/>
      <c r="CC58" s="80"/>
      <c r="CD58" s="80"/>
      <c r="CE58" s="80"/>
      <c r="CF58" s="80"/>
      <c r="CG58" s="80"/>
      <c r="CH58" s="80"/>
      <c r="CI58" s="80"/>
      <c r="CJ58" s="80"/>
      <c r="CK58" s="80"/>
      <c r="CL58" s="80"/>
      <c r="CM58" s="80"/>
      <c r="CN58" s="80"/>
      <c r="CO58" s="80"/>
      <c r="CP58" s="80"/>
      <c r="CQ58" s="80"/>
      <c r="CR58" s="80"/>
      <c r="CS58" s="80"/>
      <c r="CT58" s="80"/>
      <c r="CU58" s="80"/>
      <c r="CV58" s="80"/>
      <c r="CW58" s="80"/>
      <c r="CX58" s="80"/>
      <c r="CY58" s="80"/>
      <c r="CZ58" s="80"/>
    </row>
    <row r="59" spans="1:104">
      <c r="A59" s="80"/>
      <c r="B59" s="80"/>
      <c r="C59" s="80"/>
      <c r="D59" s="80"/>
      <c r="E59" s="80"/>
      <c r="F59" s="80"/>
      <c r="G59" s="80"/>
      <c r="H59" s="80"/>
      <c r="I59" s="80"/>
      <c r="J59" s="80"/>
      <c r="K59" s="80"/>
      <c r="L59" s="80"/>
      <c r="M59" s="80"/>
      <c r="N59" s="80"/>
      <c r="O59" s="80"/>
      <c r="P59" s="80"/>
      <c r="Q59" s="80"/>
      <c r="R59" s="80"/>
      <c r="S59" s="80"/>
      <c r="T59" s="80"/>
      <c r="U59" s="80"/>
      <c r="AZ59" s="80"/>
      <c r="BA59" s="80"/>
      <c r="BB59" s="80"/>
      <c r="BC59" s="80"/>
      <c r="BD59" s="80"/>
      <c r="BE59" s="80"/>
      <c r="BF59" s="80"/>
      <c r="BG59" s="80"/>
      <c r="BH59" s="80"/>
      <c r="BI59" s="80"/>
      <c r="BJ59" s="80"/>
      <c r="BK59" s="80"/>
      <c r="BL59" s="80"/>
      <c r="BM59" s="80"/>
      <c r="BN59" s="80"/>
      <c r="BO59" s="80"/>
      <c r="BP59" s="80"/>
      <c r="BQ59" s="80"/>
      <c r="BR59" s="80"/>
      <c r="BS59" s="80"/>
      <c r="BT59" s="80"/>
      <c r="BU59" s="80"/>
      <c r="BV59" s="80"/>
      <c r="BW59" s="80"/>
      <c r="BX59" s="80"/>
      <c r="BY59" s="80"/>
      <c r="BZ59" s="80"/>
      <c r="CA59" s="80"/>
      <c r="CB59" s="80"/>
      <c r="CC59" s="80"/>
      <c r="CD59" s="80"/>
      <c r="CE59" s="80"/>
      <c r="CF59" s="80"/>
      <c r="CG59" s="80"/>
      <c r="CH59" s="80"/>
      <c r="CI59" s="80"/>
      <c r="CJ59" s="80"/>
      <c r="CK59" s="80"/>
      <c r="CL59" s="80"/>
      <c r="CM59" s="80"/>
      <c r="CN59" s="80"/>
      <c r="CO59" s="80"/>
      <c r="CP59" s="80"/>
      <c r="CQ59" s="80"/>
      <c r="CR59" s="80"/>
      <c r="CS59" s="80"/>
      <c r="CT59" s="80"/>
      <c r="CU59" s="80"/>
      <c r="CV59" s="80"/>
      <c r="CW59" s="80"/>
      <c r="CX59" s="80"/>
      <c r="CY59" s="80"/>
      <c r="CZ59" s="80"/>
    </row>
    <row r="60" spans="1:104">
      <c r="A60" s="80"/>
      <c r="B60" s="80"/>
      <c r="C60" s="80"/>
      <c r="D60" s="80"/>
      <c r="E60" s="80"/>
      <c r="F60" s="80"/>
      <c r="G60" s="80"/>
      <c r="H60" s="80"/>
      <c r="I60" s="80"/>
      <c r="J60" s="80"/>
      <c r="K60" s="80"/>
      <c r="L60" s="80"/>
      <c r="M60" s="80"/>
      <c r="N60" s="80"/>
      <c r="O60" s="80"/>
      <c r="P60" s="80"/>
      <c r="Q60" s="80"/>
      <c r="R60" s="80"/>
      <c r="S60" s="80"/>
      <c r="T60" s="80"/>
      <c r="U60" s="80"/>
      <c r="AZ60" s="80"/>
      <c r="BA60" s="80"/>
      <c r="BB60" s="80"/>
      <c r="BC60" s="80"/>
      <c r="BD60" s="80"/>
      <c r="BE60" s="80"/>
      <c r="BF60" s="80"/>
      <c r="BG60" s="80"/>
      <c r="BH60" s="80"/>
      <c r="BI60" s="80"/>
      <c r="BJ60" s="80"/>
      <c r="BK60" s="80"/>
      <c r="BL60" s="80"/>
      <c r="BM60" s="80"/>
      <c r="BN60" s="80"/>
      <c r="BO60" s="80"/>
      <c r="BP60" s="80"/>
      <c r="BQ60" s="80"/>
      <c r="BR60" s="80"/>
      <c r="BS60" s="80"/>
      <c r="BT60" s="80"/>
      <c r="BU60" s="80"/>
      <c r="BV60" s="80"/>
      <c r="BW60" s="80"/>
      <c r="BX60" s="80"/>
      <c r="BY60" s="80"/>
      <c r="BZ60" s="80"/>
      <c r="CA60" s="80"/>
      <c r="CB60" s="80"/>
      <c r="CC60" s="80"/>
      <c r="CD60" s="80"/>
      <c r="CE60" s="80"/>
      <c r="CF60" s="80"/>
      <c r="CG60" s="80"/>
      <c r="CH60" s="80"/>
      <c r="CI60" s="80"/>
      <c r="CJ60" s="80"/>
      <c r="CK60" s="80"/>
      <c r="CL60" s="80"/>
      <c r="CM60" s="80"/>
      <c r="CN60" s="80"/>
      <c r="CO60" s="80"/>
      <c r="CP60" s="80"/>
      <c r="CQ60" s="80"/>
      <c r="CR60" s="80"/>
      <c r="CS60" s="80"/>
      <c r="CT60" s="80"/>
      <c r="CU60" s="80"/>
      <c r="CV60" s="80"/>
      <c r="CW60" s="80"/>
      <c r="CX60" s="80"/>
      <c r="CY60" s="80"/>
      <c r="CZ60" s="80"/>
    </row>
    <row r="61" spans="1:104">
      <c r="A61" s="80"/>
      <c r="B61" s="80"/>
      <c r="C61" s="80"/>
      <c r="D61" s="80"/>
      <c r="E61" s="80"/>
      <c r="F61" s="80"/>
      <c r="G61" s="80"/>
      <c r="H61" s="80"/>
      <c r="I61" s="80"/>
      <c r="J61" s="80"/>
      <c r="K61" s="80"/>
      <c r="L61" s="80"/>
      <c r="M61" s="80"/>
      <c r="N61" s="80"/>
      <c r="O61" s="80"/>
      <c r="P61" s="80"/>
      <c r="Q61" s="80"/>
      <c r="R61" s="80"/>
      <c r="S61" s="80"/>
      <c r="T61" s="80"/>
      <c r="U61" s="80"/>
      <c r="AZ61" s="80"/>
      <c r="BA61" s="80"/>
      <c r="BB61" s="80"/>
      <c r="BC61" s="80"/>
      <c r="BD61" s="80"/>
      <c r="BE61" s="80"/>
      <c r="BF61" s="80"/>
      <c r="BG61" s="80"/>
      <c r="BH61" s="80"/>
      <c r="BI61" s="80"/>
      <c r="BJ61" s="80"/>
      <c r="BK61" s="80"/>
      <c r="BL61" s="80"/>
      <c r="BM61" s="80"/>
      <c r="BN61" s="80"/>
      <c r="BO61" s="80"/>
      <c r="BP61" s="80"/>
      <c r="BQ61" s="80"/>
      <c r="BR61" s="80"/>
      <c r="BS61" s="80"/>
      <c r="BT61" s="80"/>
      <c r="BU61" s="80"/>
      <c r="BV61" s="80"/>
      <c r="BW61" s="80"/>
      <c r="BX61" s="80"/>
      <c r="BY61" s="80"/>
      <c r="BZ61" s="80"/>
      <c r="CA61" s="80"/>
      <c r="CB61" s="80"/>
      <c r="CC61" s="80"/>
      <c r="CD61" s="80"/>
      <c r="CE61" s="80"/>
      <c r="CF61" s="80"/>
      <c r="CG61" s="80"/>
      <c r="CH61" s="80"/>
      <c r="CI61" s="80"/>
      <c r="CJ61" s="80"/>
      <c r="CK61" s="80"/>
      <c r="CL61" s="80"/>
      <c r="CM61" s="80"/>
      <c r="CN61" s="80"/>
      <c r="CO61" s="80"/>
      <c r="CP61" s="80"/>
      <c r="CQ61" s="80"/>
      <c r="CR61" s="80"/>
      <c r="CS61" s="80"/>
      <c r="CT61" s="80"/>
      <c r="CU61" s="80"/>
      <c r="CV61" s="80"/>
      <c r="CW61" s="80"/>
      <c r="CX61" s="80"/>
      <c r="CY61" s="80"/>
      <c r="CZ61" s="80"/>
    </row>
    <row r="62" spans="1:104">
      <c r="A62" s="80"/>
      <c r="B62" s="80"/>
      <c r="C62" s="80"/>
      <c r="D62" s="80"/>
      <c r="E62" s="80"/>
      <c r="F62" s="80"/>
      <c r="G62" s="80"/>
      <c r="H62" s="80"/>
      <c r="I62" s="80"/>
      <c r="J62" s="80"/>
      <c r="K62" s="80"/>
      <c r="L62" s="80"/>
      <c r="M62" s="80"/>
      <c r="N62" s="80"/>
      <c r="O62" s="80"/>
      <c r="P62" s="80"/>
      <c r="Q62" s="80"/>
      <c r="R62" s="80"/>
      <c r="S62" s="80"/>
      <c r="T62" s="80"/>
      <c r="U62" s="80"/>
      <c r="AZ62" s="80"/>
      <c r="BA62" s="80"/>
      <c r="BB62" s="80"/>
      <c r="BC62" s="80"/>
      <c r="BD62" s="80"/>
      <c r="BE62" s="80"/>
      <c r="BF62" s="80"/>
      <c r="BG62" s="80"/>
      <c r="BH62" s="80"/>
      <c r="BI62" s="80"/>
      <c r="BJ62" s="80"/>
      <c r="BK62" s="80"/>
      <c r="BL62" s="80"/>
      <c r="BM62" s="80"/>
      <c r="BN62" s="80"/>
      <c r="BO62" s="80"/>
      <c r="BP62" s="80"/>
      <c r="BQ62" s="80"/>
      <c r="BR62" s="80"/>
      <c r="BS62" s="80"/>
      <c r="BT62" s="80"/>
      <c r="BU62" s="80"/>
      <c r="BV62" s="80"/>
      <c r="BW62" s="80"/>
      <c r="BX62" s="80"/>
      <c r="BY62" s="80"/>
      <c r="BZ62" s="80"/>
      <c r="CA62" s="80"/>
      <c r="CB62" s="80"/>
      <c r="CC62" s="80"/>
      <c r="CD62" s="80"/>
      <c r="CE62" s="80"/>
      <c r="CF62" s="80"/>
      <c r="CG62" s="80"/>
      <c r="CH62" s="80"/>
      <c r="CI62" s="80"/>
      <c r="CJ62" s="80"/>
      <c r="CK62" s="80"/>
      <c r="CL62" s="80"/>
      <c r="CM62" s="80"/>
      <c r="CN62" s="80"/>
      <c r="CO62" s="80"/>
      <c r="CP62" s="80"/>
      <c r="CQ62" s="80"/>
      <c r="CR62" s="80"/>
      <c r="CS62" s="80"/>
      <c r="CT62" s="80"/>
      <c r="CU62" s="80"/>
      <c r="CV62" s="80"/>
      <c r="CW62" s="80"/>
      <c r="CX62" s="80"/>
      <c r="CY62" s="80"/>
      <c r="CZ62" s="80"/>
    </row>
    <row r="63" spans="1:104">
      <c r="A63" s="80"/>
      <c r="B63" s="80"/>
      <c r="C63" s="80"/>
      <c r="D63" s="80"/>
      <c r="E63" s="80"/>
      <c r="F63" s="80"/>
      <c r="G63" s="80"/>
      <c r="H63" s="80"/>
      <c r="I63" s="80"/>
      <c r="J63" s="80"/>
      <c r="K63" s="80"/>
      <c r="L63" s="80"/>
      <c r="M63" s="80"/>
      <c r="N63" s="80"/>
      <c r="O63" s="80"/>
      <c r="P63" s="80"/>
      <c r="Q63" s="80"/>
      <c r="R63" s="80"/>
      <c r="S63" s="80"/>
      <c r="T63" s="80"/>
      <c r="U63" s="80"/>
      <c r="AZ63" s="80"/>
      <c r="BA63" s="80"/>
      <c r="BB63" s="80"/>
      <c r="BC63" s="80"/>
      <c r="BD63" s="80"/>
      <c r="BE63" s="80"/>
      <c r="BF63" s="80"/>
      <c r="BG63" s="80"/>
      <c r="BH63" s="80"/>
      <c r="BI63" s="80"/>
      <c r="BJ63" s="80"/>
      <c r="BK63" s="80"/>
      <c r="BL63" s="80"/>
      <c r="BM63" s="80"/>
      <c r="BN63" s="80"/>
      <c r="BO63" s="80"/>
      <c r="BP63" s="80"/>
      <c r="BQ63" s="80"/>
      <c r="BR63" s="80"/>
      <c r="BS63" s="80"/>
      <c r="BT63" s="80"/>
      <c r="BU63" s="80"/>
      <c r="BV63" s="80"/>
      <c r="BW63" s="80"/>
      <c r="BX63" s="80"/>
      <c r="BY63" s="80"/>
      <c r="BZ63" s="80"/>
      <c r="CA63" s="80"/>
      <c r="CB63" s="80"/>
      <c r="CC63" s="80"/>
      <c r="CD63" s="80"/>
      <c r="CE63" s="80"/>
      <c r="CF63" s="80"/>
      <c r="CG63" s="80"/>
      <c r="CH63" s="80"/>
      <c r="CI63" s="80"/>
      <c r="CJ63" s="80"/>
      <c r="CK63" s="80"/>
      <c r="CL63" s="80"/>
      <c r="CM63" s="80"/>
      <c r="CN63" s="80"/>
      <c r="CO63" s="80"/>
      <c r="CP63" s="80"/>
      <c r="CQ63" s="80"/>
      <c r="CR63" s="80"/>
      <c r="CS63" s="80"/>
      <c r="CT63" s="80"/>
      <c r="CU63" s="80"/>
      <c r="CV63" s="80"/>
      <c r="CW63" s="80"/>
      <c r="CX63" s="80"/>
      <c r="CY63" s="80"/>
      <c r="CZ63" s="80"/>
    </row>
    <row r="64" spans="1:104">
      <c r="A64" s="80"/>
      <c r="B64" s="80"/>
      <c r="C64" s="80"/>
      <c r="D64" s="80"/>
      <c r="E64" s="80"/>
      <c r="F64" s="80"/>
      <c r="G64" s="80"/>
      <c r="H64" s="80"/>
      <c r="I64" s="80"/>
      <c r="J64" s="80"/>
      <c r="K64" s="80"/>
      <c r="L64" s="80"/>
      <c r="M64" s="80"/>
      <c r="N64" s="80"/>
      <c r="O64" s="80"/>
      <c r="P64" s="80"/>
      <c r="Q64" s="80"/>
      <c r="R64" s="80"/>
      <c r="S64" s="80"/>
      <c r="T64" s="80"/>
      <c r="U64" s="80"/>
      <c r="AZ64" s="80"/>
      <c r="BA64" s="80"/>
      <c r="BB64" s="80"/>
      <c r="BC64" s="80"/>
      <c r="BD64" s="80"/>
      <c r="BE64" s="80"/>
      <c r="BF64" s="80"/>
      <c r="BG64" s="80"/>
      <c r="BH64" s="80"/>
      <c r="BI64" s="80"/>
      <c r="BJ64" s="80"/>
      <c r="BK64" s="80"/>
      <c r="BL64" s="80"/>
      <c r="BM64" s="80"/>
      <c r="BN64" s="80"/>
      <c r="BO64" s="80"/>
      <c r="BP64" s="80"/>
      <c r="BQ64" s="80"/>
      <c r="BR64" s="80"/>
      <c r="BS64" s="80"/>
      <c r="BT64" s="80"/>
      <c r="BU64" s="80"/>
      <c r="BV64" s="80"/>
      <c r="BW64" s="80"/>
      <c r="BX64" s="80"/>
      <c r="BY64" s="80"/>
      <c r="BZ64" s="80"/>
      <c r="CA64" s="80"/>
      <c r="CB64" s="80"/>
      <c r="CC64" s="80"/>
      <c r="CD64" s="80"/>
      <c r="CE64" s="80"/>
      <c r="CF64" s="80"/>
      <c r="CG64" s="80"/>
      <c r="CH64" s="80"/>
      <c r="CI64" s="80"/>
      <c r="CJ64" s="80"/>
      <c r="CK64" s="80"/>
      <c r="CL64" s="80"/>
      <c r="CM64" s="80"/>
      <c r="CN64" s="80"/>
      <c r="CO64" s="80"/>
      <c r="CP64" s="80"/>
      <c r="CQ64" s="80"/>
      <c r="CR64" s="80"/>
      <c r="CS64" s="80"/>
      <c r="CT64" s="80"/>
      <c r="CU64" s="80"/>
      <c r="CV64" s="80"/>
      <c r="CW64" s="80"/>
      <c r="CX64" s="80"/>
      <c r="CY64" s="80"/>
      <c r="CZ64" s="80"/>
    </row>
    <row r="65" spans="1:104">
      <c r="A65" s="80"/>
      <c r="B65" s="80"/>
      <c r="C65" s="80"/>
      <c r="D65" s="80"/>
      <c r="E65" s="80"/>
      <c r="F65" s="80"/>
      <c r="G65" s="80"/>
      <c r="H65" s="80"/>
      <c r="I65" s="80"/>
      <c r="J65" s="80"/>
      <c r="K65" s="80"/>
      <c r="L65" s="80"/>
      <c r="M65" s="80"/>
      <c r="N65" s="80"/>
      <c r="O65" s="80"/>
      <c r="P65" s="80"/>
      <c r="Q65" s="80"/>
      <c r="R65" s="80"/>
      <c r="S65" s="80"/>
      <c r="T65" s="80"/>
      <c r="U65" s="80"/>
      <c r="AZ65" s="80"/>
      <c r="BA65" s="80"/>
      <c r="BB65" s="80"/>
      <c r="BC65" s="80"/>
      <c r="BD65" s="80"/>
      <c r="BE65" s="80"/>
      <c r="BF65" s="80"/>
      <c r="BG65" s="80"/>
      <c r="BH65" s="80"/>
      <c r="BI65" s="80"/>
      <c r="BJ65" s="80"/>
      <c r="BK65" s="80"/>
      <c r="BL65" s="80"/>
      <c r="BM65" s="80"/>
      <c r="BN65" s="80"/>
      <c r="BO65" s="80"/>
      <c r="BP65" s="80"/>
      <c r="BQ65" s="80"/>
      <c r="BR65" s="80"/>
      <c r="BS65" s="80"/>
      <c r="BT65" s="80"/>
      <c r="BU65" s="80"/>
      <c r="BV65" s="80"/>
      <c r="BW65" s="80"/>
      <c r="BX65" s="80"/>
      <c r="BY65" s="80"/>
      <c r="BZ65" s="80"/>
      <c r="CA65" s="80"/>
      <c r="CB65" s="80"/>
      <c r="CC65" s="80"/>
      <c r="CD65" s="80"/>
      <c r="CE65" s="80"/>
      <c r="CF65" s="80"/>
      <c r="CG65" s="80"/>
      <c r="CH65" s="80"/>
      <c r="CI65" s="80"/>
      <c r="CJ65" s="80"/>
      <c r="CK65" s="80"/>
      <c r="CL65" s="80"/>
      <c r="CM65" s="80"/>
      <c r="CN65" s="80"/>
      <c r="CO65" s="80"/>
      <c r="CP65" s="80"/>
      <c r="CQ65" s="80"/>
      <c r="CR65" s="80"/>
      <c r="CS65" s="80"/>
      <c r="CT65" s="80"/>
      <c r="CU65" s="80"/>
      <c r="CV65" s="80"/>
      <c r="CW65" s="80"/>
      <c r="CX65" s="80"/>
      <c r="CY65" s="80"/>
      <c r="CZ65" s="80"/>
    </row>
    <row r="66" spans="1:104">
      <c r="A66" s="80"/>
      <c r="B66" s="80"/>
      <c r="C66" s="80"/>
      <c r="D66" s="80"/>
      <c r="E66" s="80"/>
      <c r="F66" s="80"/>
      <c r="G66" s="80"/>
      <c r="H66" s="80"/>
      <c r="I66" s="80"/>
      <c r="J66" s="80"/>
      <c r="K66" s="80"/>
      <c r="L66" s="80"/>
      <c r="M66" s="80"/>
      <c r="N66" s="80"/>
      <c r="O66" s="80"/>
      <c r="P66" s="80"/>
      <c r="Q66" s="80"/>
      <c r="R66" s="80"/>
      <c r="S66" s="80"/>
      <c r="T66" s="80"/>
      <c r="U66" s="80"/>
      <c r="AZ66" s="80"/>
      <c r="BA66" s="80"/>
      <c r="BB66" s="80"/>
      <c r="BC66" s="80"/>
      <c r="BD66" s="80"/>
      <c r="BE66" s="80"/>
      <c r="BF66" s="80"/>
      <c r="BG66" s="80"/>
      <c r="BH66" s="80"/>
      <c r="BI66" s="80"/>
      <c r="BJ66" s="80"/>
      <c r="BK66" s="80"/>
      <c r="BL66" s="80"/>
      <c r="BM66" s="80"/>
      <c r="BN66" s="80"/>
      <c r="BO66" s="80"/>
      <c r="BP66" s="80"/>
      <c r="BQ66" s="80"/>
      <c r="BR66" s="80"/>
      <c r="BS66" s="80"/>
      <c r="BT66" s="80"/>
      <c r="BU66" s="80"/>
      <c r="BV66" s="80"/>
      <c r="BW66" s="80"/>
      <c r="BX66" s="80"/>
      <c r="BY66" s="80"/>
      <c r="BZ66" s="80"/>
      <c r="CA66" s="80"/>
      <c r="CB66" s="80"/>
      <c r="CC66" s="80"/>
      <c r="CD66" s="80"/>
      <c r="CE66" s="80"/>
      <c r="CF66" s="80"/>
      <c r="CG66" s="80"/>
      <c r="CH66" s="80"/>
      <c r="CI66" s="80"/>
      <c r="CJ66" s="80"/>
      <c r="CK66" s="80"/>
      <c r="CL66" s="80"/>
      <c r="CM66" s="80"/>
      <c r="CN66" s="80"/>
      <c r="CO66" s="80"/>
      <c r="CP66" s="80"/>
      <c r="CQ66" s="80"/>
      <c r="CR66" s="80"/>
      <c r="CS66" s="80"/>
      <c r="CT66" s="80"/>
      <c r="CU66" s="80"/>
      <c r="CV66" s="80"/>
      <c r="CW66" s="80"/>
      <c r="CX66" s="80"/>
      <c r="CY66" s="80"/>
      <c r="CZ66" s="80"/>
    </row>
    <row r="67" spans="1:104">
      <c r="A67" s="80"/>
      <c r="B67" s="80"/>
      <c r="C67" s="80"/>
      <c r="D67" s="80"/>
      <c r="E67" s="80"/>
      <c r="F67" s="80"/>
      <c r="G67" s="80"/>
      <c r="H67" s="80"/>
      <c r="I67" s="80"/>
      <c r="J67" s="80"/>
      <c r="K67" s="80"/>
      <c r="L67" s="80"/>
      <c r="M67" s="80"/>
      <c r="N67" s="80"/>
      <c r="O67" s="80"/>
      <c r="P67" s="80"/>
      <c r="Q67" s="80"/>
      <c r="R67" s="80"/>
      <c r="S67" s="80"/>
      <c r="T67" s="80"/>
      <c r="U67" s="80"/>
      <c r="AZ67" s="80"/>
      <c r="BA67" s="80"/>
      <c r="BB67" s="80"/>
      <c r="BC67" s="80"/>
      <c r="BD67" s="80"/>
      <c r="BE67" s="80"/>
      <c r="BF67" s="80"/>
      <c r="BG67" s="80"/>
      <c r="BH67" s="80"/>
      <c r="BI67" s="80"/>
      <c r="BJ67" s="80"/>
      <c r="BK67" s="80"/>
      <c r="BL67" s="80"/>
      <c r="BM67" s="80"/>
      <c r="BN67" s="80"/>
      <c r="BO67" s="80"/>
      <c r="BP67" s="80"/>
      <c r="BQ67" s="80"/>
      <c r="BR67" s="80"/>
      <c r="BS67" s="80"/>
      <c r="BT67" s="80"/>
      <c r="BU67" s="80"/>
      <c r="BV67" s="80"/>
      <c r="BW67" s="80"/>
      <c r="BX67" s="80"/>
      <c r="BY67" s="80"/>
      <c r="BZ67" s="80"/>
      <c r="CA67" s="80"/>
      <c r="CB67" s="80"/>
      <c r="CC67" s="80"/>
      <c r="CD67" s="80"/>
      <c r="CE67" s="80"/>
      <c r="CF67" s="80"/>
      <c r="CG67" s="80"/>
      <c r="CH67" s="80"/>
      <c r="CI67" s="80"/>
      <c r="CJ67" s="80"/>
      <c r="CK67" s="80"/>
      <c r="CL67" s="80"/>
      <c r="CM67" s="80"/>
      <c r="CN67" s="80"/>
      <c r="CO67" s="80"/>
      <c r="CP67" s="80"/>
      <c r="CQ67" s="80"/>
      <c r="CR67" s="80"/>
      <c r="CS67" s="80"/>
      <c r="CT67" s="80"/>
      <c r="CU67" s="80"/>
      <c r="CV67" s="80"/>
      <c r="CW67" s="80"/>
      <c r="CX67" s="80"/>
      <c r="CY67" s="80"/>
      <c r="CZ67" s="80"/>
    </row>
    <row r="68" spans="1:104">
      <c r="A68" s="80"/>
      <c r="B68" s="80"/>
      <c r="C68" s="80"/>
      <c r="D68" s="80"/>
      <c r="E68" s="80"/>
      <c r="F68" s="80"/>
      <c r="G68" s="80"/>
      <c r="H68" s="80"/>
      <c r="I68" s="80"/>
      <c r="J68" s="80"/>
      <c r="K68" s="80"/>
      <c r="L68" s="80"/>
      <c r="M68" s="80"/>
      <c r="N68" s="80"/>
      <c r="O68" s="80"/>
      <c r="P68" s="80"/>
      <c r="Q68" s="80"/>
      <c r="R68" s="80"/>
      <c r="S68" s="80"/>
      <c r="T68" s="80"/>
      <c r="U68" s="80"/>
      <c r="AZ68" s="80"/>
      <c r="BA68" s="80"/>
      <c r="BB68" s="80"/>
      <c r="BC68" s="80"/>
      <c r="BD68" s="80"/>
      <c r="BE68" s="80"/>
      <c r="BF68" s="80"/>
      <c r="BG68" s="80"/>
      <c r="BH68" s="80"/>
      <c r="BI68" s="80"/>
      <c r="BJ68" s="80"/>
      <c r="BK68" s="80"/>
      <c r="BL68" s="80"/>
      <c r="BM68" s="80"/>
      <c r="BN68" s="80"/>
      <c r="BO68" s="80"/>
      <c r="BP68" s="80"/>
      <c r="BQ68" s="80"/>
      <c r="BR68" s="80"/>
      <c r="BS68" s="80"/>
      <c r="BT68" s="80"/>
      <c r="BU68" s="80"/>
      <c r="BV68" s="80"/>
      <c r="BW68" s="80"/>
      <c r="BX68" s="80"/>
      <c r="BY68" s="80"/>
      <c r="BZ68" s="80"/>
      <c r="CA68" s="80"/>
      <c r="CB68" s="80"/>
      <c r="CC68" s="80"/>
      <c r="CD68" s="80"/>
      <c r="CE68" s="80"/>
      <c r="CF68" s="80"/>
      <c r="CG68" s="80"/>
      <c r="CH68" s="80"/>
      <c r="CI68" s="80"/>
      <c r="CJ68" s="80"/>
      <c r="CK68" s="80"/>
      <c r="CL68" s="80"/>
      <c r="CM68" s="80"/>
      <c r="CN68" s="80"/>
      <c r="CO68" s="80"/>
      <c r="CP68" s="80"/>
      <c r="CQ68" s="80"/>
      <c r="CR68" s="80"/>
      <c r="CS68" s="80"/>
      <c r="CT68" s="80"/>
      <c r="CU68" s="80"/>
      <c r="CV68" s="80"/>
      <c r="CW68" s="80"/>
      <c r="CX68" s="80"/>
      <c r="CY68" s="80"/>
      <c r="CZ68" s="80"/>
    </row>
    <row r="69" spans="1:104">
      <c r="A69" s="80"/>
      <c r="B69" s="80"/>
      <c r="C69" s="80"/>
      <c r="D69" s="80"/>
      <c r="E69" s="80"/>
      <c r="F69" s="80"/>
      <c r="G69" s="80"/>
      <c r="H69" s="80"/>
      <c r="I69" s="80"/>
      <c r="J69" s="80"/>
      <c r="K69" s="80"/>
      <c r="L69" s="80"/>
      <c r="M69" s="80"/>
      <c r="N69" s="80"/>
      <c r="O69" s="80"/>
      <c r="P69" s="80"/>
      <c r="Q69" s="80"/>
      <c r="R69" s="80"/>
      <c r="S69" s="80"/>
      <c r="T69" s="80"/>
      <c r="U69" s="80"/>
      <c r="AZ69" s="80"/>
      <c r="BA69" s="80"/>
      <c r="BB69" s="80"/>
      <c r="BC69" s="80"/>
      <c r="BD69" s="80"/>
      <c r="BE69" s="80"/>
      <c r="BF69" s="80"/>
      <c r="BG69" s="80"/>
      <c r="BH69" s="80"/>
      <c r="BI69" s="80"/>
      <c r="BJ69" s="80"/>
      <c r="BK69" s="80"/>
      <c r="BL69" s="80"/>
      <c r="BM69" s="80"/>
      <c r="BN69" s="80"/>
      <c r="BO69" s="80"/>
      <c r="BP69" s="80"/>
      <c r="BQ69" s="80"/>
      <c r="BR69" s="80"/>
      <c r="BS69" s="80"/>
      <c r="BT69" s="80"/>
      <c r="BU69" s="80"/>
      <c r="BV69" s="80"/>
      <c r="BW69" s="80"/>
      <c r="BX69" s="80"/>
      <c r="BY69" s="80"/>
      <c r="BZ69" s="80"/>
      <c r="CA69" s="80"/>
      <c r="CB69" s="80"/>
      <c r="CC69" s="80"/>
      <c r="CD69" s="80"/>
      <c r="CE69" s="80"/>
      <c r="CF69" s="80"/>
      <c r="CG69" s="80"/>
      <c r="CH69" s="80"/>
      <c r="CI69" s="80"/>
      <c r="CJ69" s="80"/>
      <c r="CK69" s="80"/>
      <c r="CL69" s="80"/>
      <c r="CM69" s="80"/>
      <c r="CN69" s="80"/>
      <c r="CO69" s="80"/>
      <c r="CP69" s="80"/>
      <c r="CQ69" s="80"/>
      <c r="CR69" s="80"/>
      <c r="CS69" s="80"/>
      <c r="CT69" s="80"/>
      <c r="CU69" s="80"/>
      <c r="CV69" s="80"/>
      <c r="CW69" s="80"/>
      <c r="CX69" s="80"/>
      <c r="CY69" s="80"/>
      <c r="CZ69" s="80"/>
    </row>
    <row r="70" spans="1:104">
      <c r="A70" s="80"/>
      <c r="B70" s="80"/>
      <c r="C70" s="80"/>
      <c r="D70" s="80"/>
      <c r="E70" s="80"/>
      <c r="F70" s="80"/>
      <c r="G70" s="80"/>
      <c r="H70" s="80"/>
      <c r="I70" s="80"/>
      <c r="J70" s="80"/>
      <c r="K70" s="80"/>
      <c r="L70" s="80"/>
      <c r="M70" s="80"/>
      <c r="N70" s="80"/>
      <c r="O70" s="80"/>
      <c r="P70" s="80"/>
      <c r="Q70" s="80"/>
      <c r="R70" s="80"/>
      <c r="S70" s="80"/>
      <c r="T70" s="80"/>
      <c r="U70" s="80"/>
      <c r="AZ70" s="80"/>
      <c r="BA70" s="80"/>
      <c r="BB70" s="80"/>
      <c r="BC70" s="80"/>
      <c r="BD70" s="80"/>
      <c r="BE70" s="80"/>
      <c r="BF70" s="80"/>
      <c r="BG70" s="80"/>
      <c r="BH70" s="80"/>
      <c r="BI70" s="80"/>
      <c r="BJ70" s="80"/>
      <c r="BK70" s="80"/>
      <c r="BL70" s="80"/>
      <c r="BM70" s="80"/>
      <c r="BN70" s="80"/>
      <c r="BO70" s="80"/>
      <c r="BP70" s="80"/>
      <c r="BQ70" s="80"/>
      <c r="BR70" s="80"/>
      <c r="BS70" s="80"/>
      <c r="BT70" s="80"/>
      <c r="BU70" s="80"/>
      <c r="BV70" s="80"/>
      <c r="BW70" s="80"/>
      <c r="BX70" s="80"/>
      <c r="BY70" s="80"/>
      <c r="BZ70" s="80"/>
      <c r="CA70" s="80"/>
      <c r="CB70" s="80"/>
      <c r="CC70" s="80"/>
      <c r="CD70" s="80"/>
      <c r="CE70" s="80"/>
      <c r="CF70" s="80"/>
      <c r="CG70" s="80"/>
      <c r="CH70" s="80"/>
      <c r="CI70" s="80"/>
      <c r="CJ70" s="80"/>
      <c r="CK70" s="80"/>
      <c r="CL70" s="80"/>
      <c r="CM70" s="80"/>
      <c r="CN70" s="80"/>
      <c r="CO70" s="80"/>
      <c r="CP70" s="80"/>
      <c r="CQ70" s="80"/>
      <c r="CR70" s="80"/>
      <c r="CS70" s="80"/>
      <c r="CT70" s="80"/>
      <c r="CU70" s="80"/>
      <c r="CV70" s="80"/>
      <c r="CW70" s="80"/>
      <c r="CX70" s="80"/>
      <c r="CY70" s="80"/>
      <c r="CZ70" s="80"/>
    </row>
    <row r="71" spans="1:104">
      <c r="A71" s="80"/>
      <c r="B71" s="80"/>
      <c r="C71" s="80"/>
      <c r="D71" s="80"/>
      <c r="E71" s="80"/>
      <c r="F71" s="80"/>
      <c r="G71" s="80"/>
      <c r="H71" s="80"/>
      <c r="I71" s="80"/>
      <c r="J71" s="80"/>
      <c r="K71" s="80"/>
      <c r="L71" s="80"/>
      <c r="M71" s="80"/>
      <c r="N71" s="80"/>
      <c r="O71" s="80"/>
      <c r="P71" s="80"/>
      <c r="Q71" s="80"/>
      <c r="R71" s="80"/>
      <c r="S71" s="80"/>
      <c r="T71" s="80"/>
      <c r="U71" s="80"/>
      <c r="AZ71" s="80"/>
      <c r="BA71" s="80"/>
      <c r="BB71" s="80"/>
      <c r="BC71" s="80"/>
      <c r="BD71" s="80"/>
      <c r="BE71" s="80"/>
      <c r="BF71" s="80"/>
      <c r="BG71" s="80"/>
      <c r="BH71" s="80"/>
      <c r="BI71" s="80"/>
      <c r="BJ71" s="80"/>
      <c r="BK71" s="80"/>
      <c r="BL71" s="80"/>
      <c r="BM71" s="80"/>
      <c r="BN71" s="80"/>
      <c r="BO71" s="80"/>
      <c r="BP71" s="80"/>
      <c r="BQ71" s="80"/>
      <c r="BR71" s="80"/>
      <c r="BS71" s="80"/>
      <c r="BT71" s="80"/>
      <c r="BU71" s="80"/>
      <c r="BV71" s="80"/>
      <c r="BW71" s="80"/>
      <c r="BX71" s="80"/>
      <c r="BY71" s="80"/>
      <c r="BZ71" s="80"/>
      <c r="CA71" s="80"/>
      <c r="CB71" s="80"/>
      <c r="CC71" s="80"/>
      <c r="CD71" s="80"/>
      <c r="CE71" s="80"/>
      <c r="CF71" s="80"/>
      <c r="CG71" s="80"/>
      <c r="CH71" s="80"/>
      <c r="CI71" s="80"/>
      <c r="CJ71" s="80"/>
      <c r="CK71" s="80"/>
      <c r="CL71" s="80"/>
      <c r="CM71" s="80"/>
      <c r="CN71" s="80"/>
      <c r="CO71" s="80"/>
      <c r="CP71" s="80"/>
      <c r="CQ71" s="80"/>
      <c r="CR71" s="80"/>
      <c r="CS71" s="80"/>
      <c r="CT71" s="80"/>
      <c r="CU71" s="80"/>
      <c r="CV71" s="80"/>
      <c r="CW71" s="80"/>
      <c r="CX71" s="80"/>
      <c r="CY71" s="80"/>
      <c r="CZ71" s="80"/>
    </row>
    <row r="72" spans="1:104">
      <c r="A72" s="80"/>
      <c r="B72" s="80"/>
      <c r="C72" s="80"/>
      <c r="D72" s="80"/>
      <c r="E72" s="80"/>
      <c r="F72" s="80"/>
      <c r="G72" s="80"/>
      <c r="H72" s="80"/>
      <c r="I72" s="80"/>
      <c r="J72" s="80"/>
      <c r="K72" s="80"/>
      <c r="L72" s="80"/>
      <c r="M72" s="80"/>
      <c r="N72" s="80"/>
      <c r="O72" s="80"/>
      <c r="P72" s="80"/>
      <c r="Q72" s="80"/>
      <c r="R72" s="80"/>
      <c r="S72" s="80"/>
      <c r="T72" s="80"/>
      <c r="U72" s="80"/>
      <c r="AZ72" s="80"/>
      <c r="BA72" s="80"/>
      <c r="BB72" s="80"/>
      <c r="BC72" s="80"/>
      <c r="BD72" s="80"/>
      <c r="BE72" s="80"/>
      <c r="BF72" s="80"/>
      <c r="BG72" s="80"/>
      <c r="BH72" s="80"/>
      <c r="BI72" s="80"/>
      <c r="BJ72" s="80"/>
      <c r="BK72" s="80"/>
      <c r="BL72" s="80"/>
      <c r="BM72" s="80"/>
      <c r="BN72" s="80"/>
      <c r="BO72" s="80"/>
      <c r="BP72" s="80"/>
      <c r="BQ72" s="80"/>
      <c r="BR72" s="80"/>
      <c r="BS72" s="80"/>
      <c r="BT72" s="80"/>
      <c r="BU72" s="80"/>
      <c r="BV72" s="80"/>
      <c r="BW72" s="80"/>
      <c r="BX72" s="80"/>
      <c r="BY72" s="80"/>
      <c r="BZ72" s="80"/>
      <c r="CA72" s="80"/>
      <c r="CB72" s="80"/>
      <c r="CC72" s="80"/>
      <c r="CD72" s="80"/>
      <c r="CE72" s="80"/>
      <c r="CF72" s="80"/>
      <c r="CG72" s="80"/>
      <c r="CH72" s="80"/>
      <c r="CI72" s="80"/>
      <c r="CJ72" s="80"/>
      <c r="CK72" s="80"/>
      <c r="CL72" s="80"/>
      <c r="CM72" s="80"/>
      <c r="CN72" s="80"/>
      <c r="CO72" s="80"/>
      <c r="CP72" s="80"/>
      <c r="CQ72" s="80"/>
      <c r="CR72" s="80"/>
      <c r="CS72" s="80"/>
      <c r="CT72" s="80"/>
      <c r="CU72" s="80"/>
      <c r="CV72" s="80"/>
      <c r="CW72" s="80"/>
      <c r="CX72" s="80"/>
      <c r="CY72" s="80"/>
      <c r="CZ72" s="80"/>
    </row>
    <row r="73" spans="1:104">
      <c r="A73" s="80"/>
      <c r="B73" s="80"/>
      <c r="C73" s="80"/>
      <c r="D73" s="80"/>
      <c r="E73" s="80"/>
      <c r="F73" s="80"/>
      <c r="G73" s="80"/>
      <c r="H73" s="80"/>
      <c r="I73" s="80"/>
      <c r="J73" s="80"/>
      <c r="K73" s="80"/>
      <c r="L73" s="80"/>
      <c r="M73" s="80"/>
      <c r="N73" s="80"/>
      <c r="O73" s="80"/>
      <c r="P73" s="80"/>
      <c r="Q73" s="80"/>
      <c r="R73" s="80"/>
      <c r="S73" s="80"/>
      <c r="T73" s="80"/>
      <c r="U73" s="80"/>
      <c r="AZ73" s="80"/>
      <c r="BA73" s="80"/>
      <c r="BB73" s="80"/>
      <c r="BC73" s="80"/>
      <c r="BD73" s="80"/>
      <c r="BE73" s="80"/>
      <c r="BF73" s="80"/>
      <c r="BG73" s="80"/>
      <c r="BH73" s="80"/>
      <c r="BI73" s="80"/>
      <c r="BJ73" s="80"/>
      <c r="BK73" s="80"/>
      <c r="BL73" s="80"/>
      <c r="BM73" s="80"/>
      <c r="BN73" s="80"/>
      <c r="BO73" s="80"/>
      <c r="BP73" s="80"/>
      <c r="BQ73" s="80"/>
      <c r="BR73" s="80"/>
      <c r="BS73" s="80"/>
      <c r="BT73" s="80"/>
      <c r="BU73" s="80"/>
      <c r="BV73" s="80"/>
      <c r="BW73" s="80"/>
      <c r="BX73" s="80"/>
      <c r="BY73" s="80"/>
      <c r="BZ73" s="80"/>
      <c r="CA73" s="80"/>
      <c r="CB73" s="80"/>
      <c r="CC73" s="80"/>
      <c r="CD73" s="80"/>
      <c r="CE73" s="80"/>
      <c r="CF73" s="80"/>
      <c r="CG73" s="80"/>
      <c r="CH73" s="80"/>
      <c r="CI73" s="80"/>
      <c r="CJ73" s="80"/>
      <c r="CK73" s="80"/>
      <c r="CL73" s="80"/>
      <c r="CM73" s="80"/>
      <c r="CN73" s="80"/>
      <c r="CO73" s="80"/>
      <c r="CP73" s="80"/>
      <c r="CQ73" s="80"/>
      <c r="CR73" s="80"/>
      <c r="CS73" s="80"/>
      <c r="CT73" s="80"/>
      <c r="CU73" s="80"/>
      <c r="CV73" s="80"/>
      <c r="CW73" s="80"/>
      <c r="CX73" s="80"/>
      <c r="CY73" s="80"/>
      <c r="CZ73" s="80"/>
    </row>
    <row r="74" spans="1:104">
      <c r="A74" s="80"/>
      <c r="B74" s="80"/>
      <c r="C74" s="80"/>
      <c r="D74" s="80"/>
      <c r="E74" s="80"/>
      <c r="F74" s="80"/>
      <c r="G74" s="80"/>
      <c r="H74" s="80"/>
      <c r="I74" s="80"/>
      <c r="J74" s="80"/>
      <c r="K74" s="80"/>
      <c r="L74" s="80"/>
      <c r="M74" s="80"/>
      <c r="N74" s="80"/>
      <c r="O74" s="80"/>
      <c r="P74" s="80"/>
      <c r="Q74" s="80"/>
      <c r="R74" s="80"/>
      <c r="S74" s="80"/>
      <c r="T74" s="80"/>
      <c r="U74" s="80"/>
      <c r="AZ74" s="80"/>
      <c r="BA74" s="80"/>
      <c r="BB74" s="80"/>
      <c r="BC74" s="80"/>
      <c r="BD74" s="80"/>
      <c r="BE74" s="80"/>
      <c r="BF74" s="80"/>
      <c r="BG74" s="80"/>
      <c r="BH74" s="80"/>
      <c r="BI74" s="80"/>
      <c r="BJ74" s="80"/>
      <c r="BK74" s="80"/>
      <c r="BL74" s="80"/>
      <c r="BM74" s="80"/>
      <c r="BN74" s="80"/>
      <c r="BO74" s="80"/>
      <c r="BP74" s="80"/>
      <c r="BQ74" s="80"/>
      <c r="BR74" s="80"/>
      <c r="BS74" s="80"/>
      <c r="BT74" s="80"/>
      <c r="BU74" s="80"/>
      <c r="BV74" s="80"/>
      <c r="BW74" s="80"/>
      <c r="BX74" s="80"/>
      <c r="BY74" s="80"/>
      <c r="BZ74" s="80"/>
      <c r="CA74" s="80"/>
      <c r="CB74" s="80"/>
      <c r="CC74" s="80"/>
      <c r="CD74" s="80"/>
      <c r="CE74" s="80"/>
      <c r="CF74" s="80"/>
      <c r="CG74" s="80"/>
      <c r="CH74" s="80"/>
      <c r="CI74" s="80"/>
      <c r="CJ74" s="80"/>
      <c r="CK74" s="80"/>
      <c r="CL74" s="80"/>
      <c r="CM74" s="80"/>
      <c r="CN74" s="80"/>
      <c r="CO74" s="80"/>
      <c r="CP74" s="80"/>
      <c r="CQ74" s="80"/>
      <c r="CR74" s="80"/>
      <c r="CS74" s="80"/>
      <c r="CT74" s="80"/>
      <c r="CU74" s="80"/>
      <c r="CV74" s="80"/>
      <c r="CW74" s="80"/>
      <c r="CX74" s="80"/>
      <c r="CY74" s="80"/>
      <c r="CZ74" s="80"/>
    </row>
    <row r="75" spans="1:104">
      <c r="A75" s="80"/>
      <c r="B75" s="80"/>
      <c r="C75" s="80"/>
      <c r="D75" s="80"/>
      <c r="E75" s="80"/>
      <c r="F75" s="80"/>
      <c r="G75" s="80"/>
      <c r="H75" s="80"/>
      <c r="I75" s="80"/>
      <c r="J75" s="80"/>
      <c r="K75" s="80"/>
      <c r="L75" s="80"/>
      <c r="M75" s="80"/>
      <c r="N75" s="80"/>
      <c r="O75" s="80"/>
      <c r="P75" s="80"/>
      <c r="Q75" s="80"/>
      <c r="R75" s="80"/>
      <c r="S75" s="80"/>
      <c r="T75" s="80"/>
      <c r="U75" s="80"/>
      <c r="AZ75" s="80"/>
      <c r="BA75" s="80"/>
      <c r="BB75" s="80"/>
      <c r="BC75" s="80"/>
      <c r="BD75" s="80"/>
      <c r="BE75" s="80"/>
      <c r="BF75" s="80"/>
      <c r="BG75" s="80"/>
      <c r="BH75" s="80"/>
      <c r="BI75" s="80"/>
      <c r="BJ75" s="80"/>
      <c r="BK75" s="80"/>
      <c r="BL75" s="80"/>
      <c r="BM75" s="80"/>
      <c r="BN75" s="80"/>
      <c r="BO75" s="80"/>
      <c r="BP75" s="80"/>
      <c r="BQ75" s="80"/>
      <c r="BR75" s="80"/>
      <c r="BS75" s="80"/>
      <c r="BT75" s="80"/>
      <c r="BU75" s="80"/>
      <c r="BV75" s="80"/>
      <c r="BW75" s="80"/>
      <c r="BX75" s="80"/>
      <c r="BY75" s="80"/>
      <c r="BZ75" s="80"/>
      <c r="CA75" s="80"/>
      <c r="CB75" s="80"/>
      <c r="CC75" s="80"/>
      <c r="CD75" s="80"/>
      <c r="CE75" s="80"/>
      <c r="CF75" s="80"/>
      <c r="CG75" s="80"/>
      <c r="CH75" s="80"/>
      <c r="CI75" s="80"/>
      <c r="CJ75" s="80"/>
      <c r="CK75" s="80"/>
      <c r="CL75" s="80"/>
      <c r="CM75" s="80"/>
      <c r="CN75" s="80"/>
      <c r="CO75" s="80"/>
      <c r="CP75" s="80"/>
      <c r="CQ75" s="80"/>
      <c r="CR75" s="80"/>
      <c r="CS75" s="80"/>
      <c r="CT75" s="80"/>
      <c r="CU75" s="80"/>
      <c r="CV75" s="80"/>
      <c r="CW75" s="80"/>
      <c r="CX75" s="80"/>
      <c r="CY75" s="80"/>
      <c r="CZ75" s="80"/>
    </row>
    <row r="76" spans="1:104">
      <c r="A76" s="80"/>
      <c r="B76" s="80"/>
      <c r="C76" s="80"/>
      <c r="D76" s="80"/>
      <c r="E76" s="80"/>
      <c r="F76" s="80"/>
      <c r="G76" s="80"/>
      <c r="H76" s="80"/>
      <c r="I76" s="80"/>
      <c r="J76" s="80"/>
      <c r="K76" s="80"/>
      <c r="L76" s="80"/>
      <c r="M76" s="80"/>
      <c r="N76" s="80"/>
      <c r="O76" s="80"/>
      <c r="P76" s="80"/>
      <c r="Q76" s="80"/>
      <c r="R76" s="80"/>
      <c r="S76" s="80"/>
      <c r="T76" s="80"/>
      <c r="U76" s="80"/>
      <c r="AZ76" s="80"/>
      <c r="BA76" s="80"/>
      <c r="BB76" s="80"/>
      <c r="BC76" s="80"/>
      <c r="BD76" s="80"/>
      <c r="BE76" s="80"/>
      <c r="BF76" s="80"/>
      <c r="BG76" s="80"/>
      <c r="BH76" s="80"/>
      <c r="BI76" s="80"/>
      <c r="BJ76" s="80"/>
      <c r="BK76" s="80"/>
      <c r="BL76" s="80"/>
      <c r="BM76" s="80"/>
      <c r="BN76" s="80"/>
      <c r="BO76" s="80"/>
      <c r="BP76" s="80"/>
      <c r="BQ76" s="80"/>
      <c r="BR76" s="80"/>
      <c r="BS76" s="80"/>
      <c r="BT76" s="80"/>
      <c r="BU76" s="80"/>
      <c r="BV76" s="80"/>
      <c r="BW76" s="80"/>
      <c r="BX76" s="80"/>
      <c r="BY76" s="80"/>
      <c r="BZ76" s="80"/>
      <c r="CA76" s="80"/>
      <c r="CB76" s="80"/>
      <c r="CC76" s="80"/>
      <c r="CD76" s="80"/>
      <c r="CE76" s="80"/>
      <c r="CF76" s="80"/>
      <c r="CG76" s="80"/>
      <c r="CH76" s="80"/>
      <c r="CI76" s="80"/>
      <c r="CJ76" s="80"/>
      <c r="CK76" s="80"/>
      <c r="CL76" s="80"/>
      <c r="CM76" s="80"/>
      <c r="CN76" s="80"/>
      <c r="CO76" s="80"/>
      <c r="CP76" s="80"/>
      <c r="CQ76" s="80"/>
      <c r="CR76" s="80"/>
      <c r="CS76" s="80"/>
      <c r="CT76" s="80"/>
      <c r="CU76" s="80"/>
      <c r="CV76" s="80"/>
      <c r="CW76" s="80"/>
      <c r="CX76" s="80"/>
      <c r="CY76" s="80"/>
      <c r="CZ76" s="80"/>
    </row>
    <row r="77" spans="1:104">
      <c r="A77" s="80"/>
      <c r="B77" s="80"/>
      <c r="C77" s="80"/>
      <c r="D77" s="80"/>
      <c r="E77" s="80"/>
      <c r="F77" s="80"/>
      <c r="G77" s="80"/>
      <c r="H77" s="80"/>
      <c r="I77" s="80"/>
      <c r="J77" s="80"/>
      <c r="K77" s="80"/>
      <c r="L77" s="80"/>
      <c r="M77" s="80"/>
      <c r="N77" s="80"/>
      <c r="O77" s="80"/>
      <c r="P77" s="80"/>
      <c r="Q77" s="80"/>
      <c r="R77" s="80"/>
      <c r="S77" s="80"/>
      <c r="T77" s="80"/>
      <c r="U77" s="80"/>
      <c r="AZ77" s="80"/>
      <c r="BA77" s="80"/>
      <c r="BB77" s="80"/>
      <c r="BC77" s="80"/>
      <c r="BD77" s="80"/>
      <c r="BE77" s="80"/>
      <c r="BF77" s="80"/>
      <c r="BG77" s="80"/>
      <c r="BH77" s="80"/>
      <c r="BI77" s="80"/>
      <c r="BJ77" s="80"/>
      <c r="BK77" s="80"/>
      <c r="BL77" s="80"/>
      <c r="BM77" s="80"/>
      <c r="BN77" s="80"/>
      <c r="BO77" s="80"/>
      <c r="BP77" s="80"/>
      <c r="BQ77" s="80"/>
      <c r="BR77" s="80"/>
      <c r="BS77" s="80"/>
      <c r="BT77" s="80"/>
      <c r="BU77" s="80"/>
      <c r="BV77" s="80"/>
      <c r="BW77" s="80"/>
      <c r="BX77" s="80"/>
      <c r="BY77" s="80"/>
      <c r="BZ77" s="80"/>
      <c r="CA77" s="80"/>
      <c r="CB77" s="80"/>
      <c r="CC77" s="80"/>
      <c r="CD77" s="80"/>
      <c r="CE77" s="80"/>
      <c r="CF77" s="80"/>
      <c r="CG77" s="80"/>
      <c r="CH77" s="80"/>
      <c r="CI77" s="80"/>
      <c r="CJ77" s="80"/>
      <c r="CK77" s="80"/>
      <c r="CL77" s="80"/>
      <c r="CM77" s="80"/>
      <c r="CN77" s="80"/>
      <c r="CO77" s="80"/>
      <c r="CP77" s="80"/>
      <c r="CQ77" s="80"/>
      <c r="CR77" s="80"/>
      <c r="CS77" s="80"/>
      <c r="CT77" s="80"/>
      <c r="CU77" s="80"/>
      <c r="CV77" s="80"/>
      <c r="CW77" s="80"/>
      <c r="CX77" s="80"/>
      <c r="CY77" s="80"/>
      <c r="CZ77" s="80"/>
    </row>
    <row r="78" spans="1:104">
      <c r="A78" s="80"/>
      <c r="B78" s="80"/>
      <c r="C78" s="80"/>
      <c r="D78" s="80"/>
      <c r="E78" s="80"/>
      <c r="F78" s="80"/>
      <c r="G78" s="80"/>
      <c r="H78" s="80"/>
      <c r="I78" s="80"/>
      <c r="J78" s="80"/>
      <c r="K78" s="80"/>
      <c r="L78" s="80"/>
      <c r="M78" s="80"/>
      <c r="N78" s="80"/>
      <c r="O78" s="80"/>
      <c r="P78" s="80"/>
      <c r="Q78" s="80"/>
      <c r="R78" s="80"/>
      <c r="S78" s="80"/>
      <c r="T78" s="80"/>
      <c r="U78" s="80"/>
      <c r="AZ78" s="80"/>
      <c r="BA78" s="80"/>
      <c r="BB78" s="80"/>
      <c r="BC78" s="80"/>
      <c r="BD78" s="80"/>
      <c r="BE78" s="80"/>
      <c r="BF78" s="80"/>
      <c r="BG78" s="80"/>
      <c r="BH78" s="80"/>
      <c r="BI78" s="80"/>
      <c r="BJ78" s="80"/>
      <c r="BK78" s="80"/>
      <c r="BL78" s="80"/>
      <c r="BM78" s="80"/>
      <c r="BN78" s="80"/>
      <c r="BO78" s="80"/>
      <c r="BP78" s="80"/>
      <c r="BQ78" s="80"/>
      <c r="BR78" s="80"/>
      <c r="BS78" s="80"/>
      <c r="BT78" s="80"/>
      <c r="BU78" s="80"/>
      <c r="BV78" s="80"/>
      <c r="BW78" s="80"/>
      <c r="BX78" s="80"/>
      <c r="BY78" s="80"/>
      <c r="BZ78" s="80"/>
      <c r="CA78" s="80"/>
      <c r="CB78" s="80"/>
      <c r="CC78" s="80"/>
      <c r="CD78" s="80"/>
      <c r="CE78" s="80"/>
      <c r="CF78" s="80"/>
      <c r="CG78" s="80"/>
      <c r="CH78" s="80"/>
      <c r="CI78" s="80"/>
      <c r="CJ78" s="80"/>
      <c r="CK78" s="80"/>
      <c r="CL78" s="80"/>
      <c r="CM78" s="80"/>
      <c r="CN78" s="80"/>
      <c r="CO78" s="80"/>
      <c r="CP78" s="80"/>
      <c r="CQ78" s="80"/>
      <c r="CR78" s="80"/>
      <c r="CS78" s="80"/>
      <c r="CT78" s="80"/>
      <c r="CU78" s="80"/>
      <c r="CV78" s="80"/>
      <c r="CW78" s="80"/>
      <c r="CX78" s="80"/>
      <c r="CY78" s="80"/>
      <c r="CZ78" s="80"/>
    </row>
    <row r="79" spans="1:104">
      <c r="A79" s="80"/>
      <c r="B79" s="80"/>
      <c r="C79" s="80"/>
      <c r="D79" s="80"/>
      <c r="E79" s="80"/>
      <c r="F79" s="80"/>
      <c r="G79" s="80"/>
      <c r="H79" s="80"/>
      <c r="I79" s="80"/>
      <c r="J79" s="80"/>
      <c r="K79" s="80"/>
      <c r="L79" s="80"/>
      <c r="M79" s="80"/>
      <c r="N79" s="80"/>
      <c r="O79" s="80"/>
      <c r="P79" s="80"/>
      <c r="Q79" s="80"/>
      <c r="R79" s="80"/>
      <c r="S79" s="80"/>
      <c r="T79" s="80"/>
      <c r="U79" s="80"/>
      <c r="AZ79" s="80"/>
      <c r="BA79" s="80"/>
      <c r="BB79" s="80"/>
      <c r="BC79" s="80"/>
      <c r="BD79" s="80"/>
      <c r="BE79" s="80"/>
      <c r="BF79" s="80"/>
      <c r="BG79" s="80"/>
      <c r="BH79" s="80"/>
      <c r="BI79" s="80"/>
      <c r="BJ79" s="80"/>
      <c r="BK79" s="80"/>
      <c r="BL79" s="80"/>
      <c r="BM79" s="80"/>
      <c r="BN79" s="80"/>
      <c r="BO79" s="80"/>
      <c r="BP79" s="80"/>
      <c r="BQ79" s="80"/>
      <c r="BR79" s="80"/>
      <c r="BS79" s="80"/>
      <c r="BT79" s="80"/>
      <c r="BU79" s="80"/>
      <c r="BV79" s="80"/>
      <c r="BW79" s="80"/>
      <c r="BX79" s="80"/>
      <c r="BY79" s="80"/>
      <c r="BZ79" s="80"/>
      <c r="CA79" s="80"/>
      <c r="CB79" s="80"/>
      <c r="CC79" s="80"/>
      <c r="CD79" s="80"/>
      <c r="CE79" s="80"/>
      <c r="CF79" s="80"/>
      <c r="CG79" s="80"/>
      <c r="CH79" s="80"/>
      <c r="CI79" s="80"/>
      <c r="CJ79" s="80"/>
      <c r="CK79" s="80"/>
      <c r="CL79" s="80"/>
      <c r="CM79" s="80"/>
      <c r="CN79" s="80"/>
      <c r="CO79" s="80"/>
      <c r="CP79" s="80"/>
      <c r="CQ79" s="80"/>
      <c r="CR79" s="80"/>
      <c r="CS79" s="80"/>
      <c r="CT79" s="80"/>
      <c r="CU79" s="80"/>
      <c r="CV79" s="80"/>
      <c r="CW79" s="80"/>
      <c r="CX79" s="80"/>
      <c r="CY79" s="80"/>
      <c r="CZ79" s="80"/>
    </row>
    <row r="80" spans="1:104">
      <c r="A80" s="80"/>
      <c r="B80" s="80"/>
      <c r="C80" s="80"/>
      <c r="D80" s="80"/>
      <c r="E80" s="80"/>
      <c r="F80" s="80"/>
      <c r="G80" s="80"/>
      <c r="H80" s="80"/>
      <c r="I80" s="80"/>
      <c r="J80" s="80"/>
      <c r="K80" s="80"/>
      <c r="L80" s="80"/>
      <c r="M80" s="80"/>
      <c r="N80" s="80"/>
      <c r="O80" s="80"/>
      <c r="P80" s="80"/>
      <c r="Q80" s="80"/>
      <c r="R80" s="80"/>
      <c r="S80" s="80"/>
      <c r="T80" s="80"/>
      <c r="U80" s="80"/>
      <c r="AZ80" s="80"/>
      <c r="BA80" s="80"/>
      <c r="BB80" s="80"/>
      <c r="BC80" s="80"/>
      <c r="BD80" s="80"/>
      <c r="BE80" s="80"/>
      <c r="BF80" s="80"/>
      <c r="BG80" s="80"/>
      <c r="BH80" s="80"/>
      <c r="BI80" s="80"/>
      <c r="BJ80" s="80"/>
      <c r="BK80" s="80"/>
      <c r="BL80" s="80"/>
      <c r="BM80" s="80"/>
      <c r="BN80" s="80"/>
      <c r="BO80" s="80"/>
      <c r="BP80" s="80"/>
      <c r="BQ80" s="80"/>
      <c r="BR80" s="80"/>
      <c r="BS80" s="80"/>
      <c r="BT80" s="80"/>
      <c r="BU80" s="80"/>
      <c r="BV80" s="80"/>
      <c r="BW80" s="80"/>
      <c r="BX80" s="80"/>
      <c r="BY80" s="80"/>
      <c r="BZ80" s="80"/>
      <c r="CA80" s="80"/>
      <c r="CB80" s="80"/>
      <c r="CC80" s="80"/>
      <c r="CD80" s="80"/>
      <c r="CE80" s="80"/>
      <c r="CF80" s="80"/>
      <c r="CG80" s="80"/>
      <c r="CH80" s="80"/>
      <c r="CI80" s="80"/>
      <c r="CJ80" s="80"/>
      <c r="CK80" s="80"/>
      <c r="CL80" s="80"/>
      <c r="CM80" s="80"/>
      <c r="CN80" s="80"/>
      <c r="CO80" s="80"/>
      <c r="CP80" s="80"/>
      <c r="CQ80" s="80"/>
      <c r="CR80" s="80"/>
      <c r="CS80" s="80"/>
      <c r="CT80" s="80"/>
      <c r="CU80" s="80"/>
      <c r="CV80" s="80"/>
      <c r="CW80" s="80"/>
      <c r="CX80" s="80"/>
      <c r="CY80" s="80"/>
      <c r="CZ80" s="80"/>
    </row>
    <row r="81" spans="1:104">
      <c r="A81" s="80"/>
      <c r="B81" s="80"/>
      <c r="C81" s="80"/>
      <c r="D81" s="80"/>
      <c r="E81" s="80"/>
      <c r="F81" s="80"/>
      <c r="G81" s="80"/>
      <c r="H81" s="80"/>
      <c r="I81" s="80"/>
      <c r="J81" s="80"/>
      <c r="K81" s="80"/>
      <c r="L81" s="80"/>
      <c r="M81" s="80"/>
      <c r="N81" s="80"/>
      <c r="O81" s="80"/>
      <c r="P81" s="80"/>
      <c r="Q81" s="80"/>
      <c r="R81" s="80"/>
      <c r="S81" s="80"/>
      <c r="T81" s="80"/>
      <c r="U81" s="80"/>
      <c r="AZ81" s="80"/>
      <c r="BA81" s="80"/>
      <c r="BB81" s="80"/>
      <c r="BC81" s="80"/>
      <c r="BD81" s="80"/>
      <c r="BE81" s="80"/>
      <c r="BF81" s="80"/>
      <c r="BG81" s="80"/>
      <c r="BH81" s="80"/>
      <c r="BI81" s="80"/>
      <c r="BJ81" s="80"/>
      <c r="BK81" s="80"/>
      <c r="BL81" s="80"/>
      <c r="BM81" s="80"/>
      <c r="BN81" s="80"/>
      <c r="BO81" s="80"/>
      <c r="BP81" s="80"/>
      <c r="BQ81" s="80"/>
      <c r="BR81" s="80"/>
      <c r="BS81" s="80"/>
      <c r="BT81" s="80"/>
      <c r="BU81" s="80"/>
      <c r="BV81" s="80"/>
      <c r="BW81" s="80"/>
      <c r="BX81" s="80"/>
      <c r="BY81" s="80"/>
      <c r="BZ81" s="80"/>
      <c r="CA81" s="80"/>
      <c r="CB81" s="80"/>
      <c r="CC81" s="80"/>
      <c r="CD81" s="80"/>
      <c r="CE81" s="80"/>
      <c r="CF81" s="80"/>
      <c r="CG81" s="80"/>
      <c r="CH81" s="80"/>
      <c r="CI81" s="80"/>
      <c r="CJ81" s="80"/>
      <c r="CK81" s="80"/>
      <c r="CL81" s="80"/>
      <c r="CM81" s="80"/>
      <c r="CN81" s="80"/>
      <c r="CO81" s="80"/>
      <c r="CP81" s="80"/>
      <c r="CQ81" s="80"/>
      <c r="CR81" s="80"/>
      <c r="CS81" s="80"/>
      <c r="CT81" s="80"/>
      <c r="CU81" s="80"/>
      <c r="CV81" s="80"/>
      <c r="CW81" s="80"/>
      <c r="CX81" s="80"/>
      <c r="CY81" s="80"/>
      <c r="CZ81" s="80"/>
    </row>
    <row r="82" spans="1:104">
      <c r="A82" s="80"/>
      <c r="B82" s="80"/>
      <c r="C82" s="80"/>
      <c r="D82" s="80"/>
      <c r="E82" s="80"/>
      <c r="F82" s="80"/>
      <c r="G82" s="80"/>
      <c r="H82" s="80"/>
      <c r="I82" s="80"/>
      <c r="J82" s="80"/>
      <c r="K82" s="80"/>
      <c r="L82" s="80"/>
      <c r="M82" s="80"/>
      <c r="N82" s="80"/>
      <c r="O82" s="80"/>
      <c r="P82" s="80"/>
      <c r="Q82" s="80"/>
      <c r="R82" s="80"/>
      <c r="S82" s="80"/>
      <c r="T82" s="80"/>
      <c r="U82" s="80"/>
      <c r="AZ82" s="80"/>
      <c r="BA82" s="80"/>
      <c r="BB82" s="80"/>
      <c r="BC82" s="80"/>
      <c r="BD82" s="80"/>
      <c r="BE82" s="80"/>
      <c r="BF82" s="80"/>
      <c r="BG82" s="80"/>
      <c r="BH82" s="80"/>
      <c r="BI82" s="80"/>
      <c r="BJ82" s="80"/>
      <c r="BK82" s="80"/>
      <c r="BL82" s="80"/>
      <c r="BM82" s="80"/>
      <c r="BN82" s="80"/>
      <c r="BO82" s="80"/>
      <c r="BP82" s="80"/>
      <c r="BQ82" s="80"/>
      <c r="BR82" s="80"/>
      <c r="BS82" s="80"/>
      <c r="BT82" s="80"/>
      <c r="BU82" s="80"/>
      <c r="BV82" s="80"/>
      <c r="BW82" s="80"/>
      <c r="BX82" s="80"/>
      <c r="BY82" s="80"/>
      <c r="BZ82" s="80"/>
      <c r="CA82" s="80"/>
      <c r="CB82" s="80"/>
      <c r="CC82" s="80"/>
      <c r="CD82" s="80"/>
      <c r="CE82" s="80"/>
      <c r="CF82" s="80"/>
      <c r="CG82" s="80"/>
      <c r="CH82" s="80"/>
      <c r="CI82" s="80"/>
      <c r="CJ82" s="80"/>
      <c r="CK82" s="80"/>
      <c r="CL82" s="80"/>
      <c r="CM82" s="80"/>
      <c r="CN82" s="80"/>
      <c r="CO82" s="80"/>
      <c r="CP82" s="80"/>
      <c r="CQ82" s="80"/>
      <c r="CR82" s="80"/>
      <c r="CS82" s="80"/>
      <c r="CT82" s="80"/>
      <c r="CU82" s="80"/>
      <c r="CV82" s="80"/>
      <c r="CW82" s="80"/>
      <c r="CX82" s="80"/>
      <c r="CY82" s="80"/>
      <c r="CZ82" s="80"/>
    </row>
    <row r="83" spans="1:104">
      <c r="A83" s="80"/>
      <c r="B83" s="80"/>
      <c r="C83" s="80"/>
      <c r="D83" s="80"/>
      <c r="E83" s="80"/>
      <c r="F83" s="80"/>
      <c r="G83" s="80"/>
      <c r="H83" s="80"/>
      <c r="I83" s="80"/>
      <c r="J83" s="80"/>
      <c r="K83" s="80"/>
      <c r="L83" s="80"/>
      <c r="M83" s="80"/>
      <c r="N83" s="80"/>
      <c r="O83" s="80"/>
      <c r="P83" s="80"/>
      <c r="Q83" s="80"/>
      <c r="R83" s="80"/>
      <c r="S83" s="80"/>
      <c r="T83" s="80"/>
      <c r="U83" s="80"/>
      <c r="AZ83" s="80"/>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80"/>
      <c r="CE83" s="80"/>
      <c r="CF83" s="80"/>
      <c r="CG83" s="80"/>
      <c r="CH83" s="80"/>
      <c r="CI83" s="80"/>
      <c r="CJ83" s="80"/>
      <c r="CK83" s="80"/>
      <c r="CL83" s="80"/>
      <c r="CM83" s="80"/>
      <c r="CN83" s="80"/>
      <c r="CO83" s="80"/>
      <c r="CP83" s="80"/>
      <c r="CQ83" s="80"/>
      <c r="CR83" s="80"/>
      <c r="CS83" s="80"/>
      <c r="CT83" s="80"/>
      <c r="CU83" s="80"/>
      <c r="CV83" s="80"/>
      <c r="CW83" s="80"/>
      <c r="CX83" s="80"/>
      <c r="CY83" s="80"/>
      <c r="CZ83" s="80"/>
    </row>
    <row r="84" spans="1:104">
      <c r="A84" s="80"/>
      <c r="B84" s="80"/>
      <c r="C84" s="80"/>
      <c r="D84" s="80"/>
      <c r="E84" s="80"/>
      <c r="F84" s="80"/>
      <c r="G84" s="80"/>
      <c r="H84" s="80"/>
      <c r="I84" s="80"/>
      <c r="J84" s="80"/>
      <c r="K84" s="80"/>
      <c r="L84" s="80"/>
      <c r="M84" s="80"/>
      <c r="N84" s="80"/>
      <c r="O84" s="80"/>
      <c r="P84" s="80"/>
      <c r="Q84" s="80"/>
      <c r="R84" s="80"/>
      <c r="S84" s="80"/>
      <c r="T84" s="80"/>
      <c r="U84" s="80"/>
      <c r="AZ84" s="80"/>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80"/>
      <c r="CE84" s="80"/>
      <c r="CF84" s="80"/>
      <c r="CG84" s="80"/>
      <c r="CH84" s="80"/>
      <c r="CI84" s="80"/>
      <c r="CJ84" s="80"/>
      <c r="CK84" s="80"/>
      <c r="CL84" s="80"/>
      <c r="CM84" s="80"/>
      <c r="CN84" s="80"/>
      <c r="CO84" s="80"/>
      <c r="CP84" s="80"/>
      <c r="CQ84" s="80"/>
      <c r="CR84" s="80"/>
      <c r="CS84" s="80"/>
      <c r="CT84" s="80"/>
      <c r="CU84" s="80"/>
      <c r="CV84" s="80"/>
      <c r="CW84" s="80"/>
      <c r="CX84" s="80"/>
      <c r="CY84" s="80"/>
      <c r="CZ84" s="80"/>
    </row>
    <row r="85" spans="1:104">
      <c r="A85" s="80"/>
      <c r="B85" s="80"/>
      <c r="C85" s="80"/>
      <c r="D85" s="80"/>
      <c r="E85" s="80"/>
      <c r="F85" s="80"/>
      <c r="G85" s="80"/>
      <c r="H85" s="80"/>
      <c r="I85" s="80"/>
      <c r="J85" s="80"/>
      <c r="K85" s="80"/>
      <c r="L85" s="80"/>
      <c r="M85" s="80"/>
      <c r="N85" s="80"/>
      <c r="O85" s="80"/>
      <c r="P85" s="80"/>
      <c r="Q85" s="80"/>
      <c r="R85" s="80"/>
      <c r="S85" s="80"/>
      <c r="T85" s="80"/>
      <c r="U85" s="80"/>
      <c r="AZ85" s="80"/>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80"/>
      <c r="CE85" s="80"/>
      <c r="CF85" s="80"/>
      <c r="CG85" s="80"/>
      <c r="CH85" s="80"/>
      <c r="CI85" s="80"/>
      <c r="CJ85" s="80"/>
      <c r="CK85" s="80"/>
      <c r="CL85" s="80"/>
      <c r="CM85" s="80"/>
      <c r="CN85" s="80"/>
      <c r="CO85" s="80"/>
      <c r="CP85" s="80"/>
      <c r="CQ85" s="80"/>
      <c r="CR85" s="80"/>
      <c r="CS85" s="80"/>
      <c r="CT85" s="80"/>
      <c r="CU85" s="80"/>
      <c r="CV85" s="80"/>
      <c r="CW85" s="80"/>
      <c r="CX85" s="80"/>
      <c r="CY85" s="80"/>
      <c r="CZ85" s="80"/>
    </row>
    <row r="86" spans="1:104">
      <c r="A86" s="80"/>
      <c r="B86" s="80"/>
      <c r="C86" s="80"/>
      <c r="D86" s="80"/>
      <c r="E86" s="80"/>
      <c r="F86" s="80"/>
      <c r="G86" s="80"/>
      <c r="H86" s="80"/>
      <c r="I86" s="80"/>
      <c r="J86" s="80"/>
      <c r="K86" s="80"/>
      <c r="L86" s="80"/>
      <c r="M86" s="80"/>
      <c r="N86" s="80"/>
      <c r="O86" s="80"/>
      <c r="P86" s="80"/>
      <c r="Q86" s="80"/>
      <c r="R86" s="80"/>
      <c r="S86" s="80"/>
      <c r="T86" s="80"/>
      <c r="U86" s="80"/>
      <c r="AZ86" s="80"/>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80"/>
      <c r="CE86" s="80"/>
      <c r="CF86" s="80"/>
      <c r="CG86" s="80"/>
      <c r="CH86" s="80"/>
      <c r="CI86" s="80"/>
      <c r="CJ86" s="80"/>
      <c r="CK86" s="80"/>
      <c r="CL86" s="80"/>
      <c r="CM86" s="80"/>
      <c r="CN86" s="80"/>
      <c r="CO86" s="80"/>
      <c r="CP86" s="80"/>
      <c r="CQ86" s="80"/>
      <c r="CR86" s="80"/>
      <c r="CS86" s="80"/>
      <c r="CT86" s="80"/>
      <c r="CU86" s="80"/>
      <c r="CV86" s="80"/>
      <c r="CW86" s="80"/>
      <c r="CX86" s="80"/>
      <c r="CY86" s="80"/>
      <c r="CZ86" s="80"/>
    </row>
    <row r="87" spans="1:104">
      <c r="A87" s="80"/>
      <c r="B87" s="80"/>
      <c r="C87" s="80"/>
      <c r="D87" s="80"/>
      <c r="E87" s="80"/>
      <c r="F87" s="80"/>
      <c r="G87" s="80"/>
      <c r="H87" s="80"/>
      <c r="I87" s="80"/>
      <c r="J87" s="80"/>
      <c r="K87" s="80"/>
      <c r="L87" s="80"/>
      <c r="M87" s="80"/>
      <c r="N87" s="80"/>
      <c r="O87" s="80"/>
      <c r="P87" s="80"/>
      <c r="Q87" s="80"/>
      <c r="R87" s="80"/>
      <c r="S87" s="80"/>
      <c r="T87" s="80"/>
      <c r="U87" s="80"/>
      <c r="AZ87" s="80"/>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80"/>
      <c r="CE87" s="80"/>
      <c r="CF87" s="80"/>
      <c r="CG87" s="80"/>
      <c r="CH87" s="80"/>
      <c r="CI87" s="80"/>
      <c r="CJ87" s="80"/>
      <c r="CK87" s="80"/>
      <c r="CL87" s="80"/>
      <c r="CM87" s="80"/>
      <c r="CN87" s="80"/>
      <c r="CO87" s="80"/>
      <c r="CP87" s="80"/>
      <c r="CQ87" s="80"/>
      <c r="CR87" s="80"/>
      <c r="CS87" s="80"/>
      <c r="CT87" s="80"/>
      <c r="CU87" s="80"/>
      <c r="CV87" s="80"/>
      <c r="CW87" s="80"/>
      <c r="CX87" s="80"/>
      <c r="CY87" s="80"/>
      <c r="CZ87" s="80"/>
    </row>
    <row r="88" spans="1:104">
      <c r="A88" s="80"/>
      <c r="B88" s="80"/>
      <c r="C88" s="80"/>
      <c r="D88" s="80"/>
      <c r="E88" s="80"/>
      <c r="F88" s="80"/>
      <c r="G88" s="80"/>
      <c r="H88" s="80"/>
      <c r="I88" s="80"/>
      <c r="J88" s="80"/>
      <c r="K88" s="80"/>
      <c r="L88" s="80"/>
      <c r="M88" s="80"/>
      <c r="N88" s="80"/>
      <c r="O88" s="80"/>
      <c r="P88" s="80"/>
      <c r="Q88" s="80"/>
      <c r="R88" s="80"/>
      <c r="S88" s="80"/>
      <c r="T88" s="80"/>
      <c r="U88" s="80"/>
      <c r="AZ88" s="80"/>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CX88" s="80"/>
      <c r="CY88" s="80"/>
      <c r="CZ88" s="80"/>
    </row>
    <row r="89" spans="1:104">
      <c r="A89" s="80"/>
      <c r="B89" s="80"/>
      <c r="C89" s="80"/>
      <c r="D89" s="80"/>
      <c r="E89" s="80"/>
      <c r="F89" s="80"/>
      <c r="G89" s="80"/>
      <c r="H89" s="80"/>
      <c r="I89" s="80"/>
      <c r="J89" s="80"/>
      <c r="K89" s="80"/>
      <c r="L89" s="80"/>
      <c r="M89" s="80"/>
      <c r="N89" s="80"/>
      <c r="O89" s="80"/>
      <c r="P89" s="80"/>
      <c r="Q89" s="80"/>
      <c r="R89" s="80"/>
      <c r="S89" s="80"/>
      <c r="T89" s="80"/>
      <c r="U89" s="80"/>
      <c r="AZ89" s="80"/>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80"/>
      <c r="CE89" s="80"/>
      <c r="CF89" s="80"/>
      <c r="CG89" s="80"/>
      <c r="CH89" s="80"/>
      <c r="CI89" s="80"/>
      <c r="CJ89" s="80"/>
      <c r="CK89" s="80"/>
      <c r="CL89" s="80"/>
      <c r="CM89" s="80"/>
      <c r="CN89" s="80"/>
      <c r="CO89" s="80"/>
      <c r="CP89" s="80"/>
      <c r="CQ89" s="80"/>
      <c r="CR89" s="80"/>
      <c r="CS89" s="80"/>
      <c r="CT89" s="80"/>
      <c r="CU89" s="80"/>
      <c r="CV89" s="80"/>
      <c r="CW89" s="80"/>
      <c r="CX89" s="80"/>
      <c r="CY89" s="80"/>
      <c r="CZ89" s="80"/>
    </row>
    <row r="90" spans="1:104">
      <c r="A90" s="80"/>
      <c r="B90" s="80"/>
      <c r="C90" s="80"/>
      <c r="D90" s="80"/>
      <c r="E90" s="80"/>
      <c r="F90" s="80"/>
      <c r="G90" s="80"/>
      <c r="H90" s="80"/>
      <c r="I90" s="80"/>
      <c r="J90" s="80"/>
      <c r="K90" s="80"/>
      <c r="L90" s="80"/>
      <c r="M90" s="80"/>
      <c r="N90" s="80"/>
      <c r="O90" s="80"/>
      <c r="P90" s="80"/>
      <c r="Q90" s="80"/>
      <c r="R90" s="80"/>
      <c r="S90" s="80"/>
      <c r="T90" s="80"/>
      <c r="U90" s="80"/>
      <c r="AZ90" s="80"/>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80"/>
      <c r="CE90" s="80"/>
      <c r="CF90" s="80"/>
      <c r="CG90" s="80"/>
      <c r="CH90" s="80"/>
      <c r="CI90" s="80"/>
      <c r="CJ90" s="80"/>
      <c r="CK90" s="80"/>
      <c r="CL90" s="80"/>
      <c r="CM90" s="80"/>
      <c r="CN90" s="80"/>
      <c r="CO90" s="80"/>
      <c r="CP90" s="80"/>
      <c r="CQ90" s="80"/>
      <c r="CR90" s="80"/>
      <c r="CS90" s="80"/>
      <c r="CT90" s="80"/>
      <c r="CU90" s="80"/>
      <c r="CV90" s="80"/>
      <c r="CW90" s="80"/>
      <c r="CX90" s="80"/>
      <c r="CY90" s="80"/>
      <c r="CZ90" s="80"/>
    </row>
    <row r="91" spans="1:104">
      <c r="A91" s="80"/>
      <c r="B91" s="80"/>
      <c r="C91" s="80"/>
      <c r="D91" s="80"/>
      <c r="E91" s="80"/>
      <c r="F91" s="80"/>
      <c r="G91" s="80"/>
      <c r="H91" s="80"/>
      <c r="I91" s="80"/>
      <c r="J91" s="80"/>
      <c r="K91" s="80"/>
      <c r="L91" s="80"/>
      <c r="M91" s="80"/>
      <c r="N91" s="80"/>
      <c r="O91" s="80"/>
      <c r="P91" s="80"/>
      <c r="Q91" s="80"/>
      <c r="R91" s="80"/>
      <c r="S91" s="80"/>
      <c r="T91" s="80"/>
      <c r="U91" s="80"/>
      <c r="AZ91" s="80"/>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80"/>
      <c r="CE91" s="80"/>
      <c r="CF91" s="80"/>
      <c r="CG91" s="80"/>
      <c r="CH91" s="80"/>
      <c r="CI91" s="80"/>
      <c r="CJ91" s="80"/>
      <c r="CK91" s="80"/>
      <c r="CL91" s="80"/>
      <c r="CM91" s="80"/>
      <c r="CN91" s="80"/>
      <c r="CO91" s="80"/>
      <c r="CP91" s="80"/>
      <c r="CQ91" s="80"/>
      <c r="CR91" s="80"/>
      <c r="CS91" s="80"/>
      <c r="CT91" s="80"/>
      <c r="CU91" s="80"/>
      <c r="CV91" s="80"/>
      <c r="CW91" s="80"/>
      <c r="CX91" s="80"/>
      <c r="CY91" s="80"/>
      <c r="CZ91" s="80"/>
    </row>
    <row r="92" spans="1:104">
      <c r="A92" s="80"/>
      <c r="B92" s="80"/>
      <c r="C92" s="80"/>
      <c r="D92" s="80"/>
      <c r="E92" s="80"/>
      <c r="F92" s="80"/>
      <c r="G92" s="80"/>
      <c r="H92" s="80"/>
      <c r="I92" s="80"/>
      <c r="J92" s="80"/>
      <c r="K92" s="80"/>
      <c r="L92" s="80"/>
      <c r="M92" s="80"/>
      <c r="N92" s="80"/>
      <c r="O92" s="80"/>
      <c r="P92" s="80"/>
      <c r="Q92" s="80"/>
      <c r="R92" s="80"/>
      <c r="S92" s="80"/>
      <c r="T92" s="80"/>
      <c r="U92" s="80"/>
      <c r="AZ92" s="80"/>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80"/>
      <c r="CE92" s="80"/>
      <c r="CF92" s="80"/>
      <c r="CG92" s="80"/>
      <c r="CH92" s="80"/>
      <c r="CI92" s="80"/>
      <c r="CJ92" s="80"/>
      <c r="CK92" s="80"/>
      <c r="CL92" s="80"/>
      <c r="CM92" s="80"/>
      <c r="CN92" s="80"/>
      <c r="CO92" s="80"/>
      <c r="CP92" s="80"/>
      <c r="CQ92" s="80"/>
      <c r="CR92" s="80"/>
      <c r="CS92" s="80"/>
      <c r="CT92" s="80"/>
      <c r="CU92" s="80"/>
      <c r="CV92" s="80"/>
      <c r="CW92" s="80"/>
      <c r="CX92" s="80"/>
      <c r="CY92" s="80"/>
      <c r="CZ92" s="80"/>
    </row>
    <row r="93" spans="1:104">
      <c r="A93" s="80"/>
      <c r="B93" s="80"/>
      <c r="C93" s="80"/>
      <c r="D93" s="80"/>
      <c r="E93" s="80"/>
      <c r="F93" s="80"/>
      <c r="G93" s="80"/>
      <c r="H93" s="80"/>
      <c r="I93" s="80"/>
      <c r="J93" s="80"/>
      <c r="K93" s="80"/>
      <c r="L93" s="80"/>
      <c r="M93" s="80"/>
      <c r="N93" s="80"/>
      <c r="O93" s="80"/>
      <c r="P93" s="80"/>
      <c r="Q93" s="80"/>
      <c r="R93" s="80"/>
      <c r="S93" s="80"/>
      <c r="T93" s="80"/>
      <c r="U93" s="80"/>
      <c r="AZ93" s="80"/>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80"/>
      <c r="CE93" s="80"/>
      <c r="CF93" s="80"/>
      <c r="CG93" s="80"/>
      <c r="CH93" s="80"/>
      <c r="CI93" s="80"/>
      <c r="CJ93" s="80"/>
      <c r="CK93" s="80"/>
      <c r="CL93" s="80"/>
      <c r="CM93" s="80"/>
      <c r="CN93" s="80"/>
      <c r="CO93" s="80"/>
      <c r="CP93" s="80"/>
      <c r="CQ93" s="80"/>
      <c r="CR93" s="80"/>
      <c r="CS93" s="80"/>
      <c r="CT93" s="80"/>
      <c r="CU93" s="80"/>
      <c r="CV93" s="80"/>
      <c r="CW93" s="80"/>
      <c r="CX93" s="80"/>
      <c r="CY93" s="80"/>
      <c r="CZ93" s="80"/>
    </row>
    <row r="94" spans="1:104">
      <c r="A94" s="80"/>
      <c r="B94" s="80"/>
      <c r="C94" s="80"/>
      <c r="D94" s="80"/>
      <c r="E94" s="80"/>
      <c r="F94" s="80"/>
      <c r="G94" s="80"/>
      <c r="H94" s="80"/>
      <c r="I94" s="80"/>
      <c r="J94" s="80"/>
      <c r="K94" s="80"/>
      <c r="L94" s="80"/>
      <c r="M94" s="80"/>
      <c r="N94" s="80"/>
      <c r="O94" s="80"/>
      <c r="P94" s="80"/>
      <c r="Q94" s="80"/>
      <c r="R94" s="80"/>
      <c r="S94" s="80"/>
      <c r="T94" s="80"/>
      <c r="U94" s="80"/>
      <c r="AZ94" s="80"/>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80"/>
      <c r="CE94" s="80"/>
      <c r="CF94" s="80"/>
      <c r="CG94" s="80"/>
      <c r="CH94" s="80"/>
      <c r="CI94" s="80"/>
      <c r="CJ94" s="80"/>
      <c r="CK94" s="80"/>
      <c r="CL94" s="80"/>
      <c r="CM94" s="80"/>
      <c r="CN94" s="80"/>
      <c r="CO94" s="80"/>
      <c r="CP94" s="80"/>
      <c r="CQ94" s="80"/>
      <c r="CR94" s="80"/>
      <c r="CS94" s="80"/>
      <c r="CT94" s="80"/>
      <c r="CU94" s="80"/>
      <c r="CV94" s="80"/>
      <c r="CW94" s="80"/>
      <c r="CX94" s="80"/>
      <c r="CY94" s="80"/>
      <c r="CZ94" s="80"/>
    </row>
    <row r="95" spans="1:104">
      <c r="A95" s="80"/>
      <c r="B95" s="80"/>
      <c r="C95" s="80"/>
      <c r="D95" s="80"/>
      <c r="E95" s="80"/>
      <c r="F95" s="80"/>
      <c r="G95" s="80"/>
      <c r="H95" s="80"/>
      <c r="I95" s="80"/>
      <c r="J95" s="80"/>
      <c r="K95" s="80"/>
      <c r="L95" s="80"/>
      <c r="M95" s="80"/>
      <c r="N95" s="80"/>
      <c r="O95" s="80"/>
      <c r="P95" s="80"/>
      <c r="Q95" s="80"/>
      <c r="R95" s="80"/>
      <c r="S95" s="80"/>
      <c r="T95" s="80"/>
      <c r="U95" s="80"/>
      <c r="AZ95" s="80"/>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80"/>
      <c r="CE95" s="80"/>
      <c r="CF95" s="80"/>
      <c r="CG95" s="80"/>
      <c r="CH95" s="80"/>
      <c r="CI95" s="80"/>
      <c r="CJ95" s="80"/>
      <c r="CK95" s="80"/>
      <c r="CL95" s="80"/>
      <c r="CM95" s="80"/>
      <c r="CN95" s="80"/>
      <c r="CO95" s="80"/>
      <c r="CP95" s="80"/>
      <c r="CQ95" s="80"/>
      <c r="CR95" s="80"/>
      <c r="CS95" s="80"/>
      <c r="CT95" s="80"/>
      <c r="CU95" s="80"/>
      <c r="CV95" s="80"/>
      <c r="CW95" s="80"/>
      <c r="CX95" s="80"/>
      <c r="CY95" s="80"/>
      <c r="CZ95" s="80"/>
    </row>
    <row r="96" spans="1:104">
      <c r="A96" s="80"/>
      <c r="B96" s="80"/>
      <c r="C96" s="80"/>
      <c r="D96" s="80"/>
      <c r="E96" s="80"/>
      <c r="F96" s="80"/>
      <c r="G96" s="80"/>
      <c r="H96" s="80"/>
      <c r="I96" s="80"/>
      <c r="J96" s="80"/>
      <c r="K96" s="80"/>
      <c r="L96" s="80"/>
      <c r="M96" s="80"/>
      <c r="N96" s="80"/>
      <c r="O96" s="80"/>
      <c r="P96" s="80"/>
      <c r="Q96" s="80"/>
      <c r="R96" s="80"/>
      <c r="S96" s="80"/>
      <c r="T96" s="80"/>
      <c r="U96" s="80"/>
      <c r="AZ96" s="80"/>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CB96" s="80"/>
      <c r="CC96" s="80"/>
      <c r="CD96" s="80"/>
      <c r="CE96" s="80"/>
      <c r="CF96" s="80"/>
      <c r="CG96" s="80"/>
      <c r="CH96" s="80"/>
      <c r="CI96" s="80"/>
      <c r="CJ96" s="80"/>
      <c r="CK96" s="80"/>
      <c r="CL96" s="80"/>
      <c r="CM96" s="80"/>
      <c r="CN96" s="80"/>
      <c r="CO96" s="80"/>
      <c r="CP96" s="80"/>
      <c r="CQ96" s="80"/>
      <c r="CR96" s="80"/>
      <c r="CS96" s="80"/>
      <c r="CT96" s="80"/>
      <c r="CU96" s="80"/>
      <c r="CV96" s="80"/>
      <c r="CW96" s="80"/>
      <c r="CX96" s="80"/>
      <c r="CY96" s="80"/>
      <c r="CZ96" s="80"/>
    </row>
    <row r="97" spans="1:104">
      <c r="A97" s="80"/>
      <c r="B97" s="80"/>
      <c r="C97" s="80"/>
      <c r="D97" s="80"/>
      <c r="E97" s="80"/>
      <c r="F97" s="80"/>
      <c r="G97" s="80"/>
      <c r="H97" s="80"/>
      <c r="I97" s="80"/>
      <c r="J97" s="80"/>
      <c r="K97" s="80"/>
      <c r="L97" s="80"/>
      <c r="M97" s="80"/>
      <c r="N97" s="80"/>
      <c r="O97" s="80"/>
      <c r="P97" s="80"/>
      <c r="Q97" s="80"/>
      <c r="R97" s="80"/>
      <c r="S97" s="80"/>
      <c r="T97" s="80"/>
      <c r="U97" s="80"/>
      <c r="AZ97" s="80"/>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CB97" s="80"/>
      <c r="CC97" s="80"/>
      <c r="CD97" s="80"/>
      <c r="CE97" s="80"/>
      <c r="CF97" s="80"/>
      <c r="CG97" s="80"/>
      <c r="CH97" s="80"/>
      <c r="CI97" s="80"/>
      <c r="CJ97" s="80"/>
      <c r="CK97" s="80"/>
      <c r="CL97" s="80"/>
      <c r="CM97" s="80"/>
      <c r="CN97" s="80"/>
      <c r="CO97" s="80"/>
      <c r="CP97" s="80"/>
      <c r="CQ97" s="80"/>
      <c r="CR97" s="80"/>
      <c r="CS97" s="80"/>
      <c r="CT97" s="80"/>
      <c r="CU97" s="80"/>
      <c r="CV97" s="80"/>
      <c r="CW97" s="80"/>
      <c r="CX97" s="80"/>
      <c r="CY97" s="80"/>
      <c r="CZ97" s="80"/>
    </row>
    <row r="98" spans="1:104">
      <c r="A98" s="80"/>
      <c r="B98" s="80"/>
      <c r="C98" s="80"/>
      <c r="D98" s="80"/>
      <c r="E98" s="80"/>
      <c r="F98" s="80"/>
      <c r="G98" s="80"/>
      <c r="H98" s="80"/>
      <c r="I98" s="80"/>
      <c r="J98" s="80"/>
      <c r="K98" s="80"/>
      <c r="L98" s="80"/>
      <c r="M98" s="80"/>
      <c r="N98" s="80"/>
      <c r="O98" s="80"/>
      <c r="P98" s="80"/>
      <c r="Q98" s="80"/>
      <c r="R98" s="80"/>
      <c r="S98" s="80"/>
      <c r="T98" s="80"/>
      <c r="U98" s="80"/>
      <c r="AZ98" s="80"/>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CX98" s="80"/>
      <c r="CY98" s="80"/>
      <c r="CZ98" s="80"/>
    </row>
    <row r="99" spans="1:104">
      <c r="A99" s="80"/>
      <c r="B99" s="80"/>
      <c r="C99" s="80"/>
      <c r="D99" s="80"/>
      <c r="E99" s="80"/>
      <c r="F99" s="80"/>
      <c r="G99" s="80"/>
      <c r="H99" s="80"/>
      <c r="I99" s="80"/>
      <c r="J99" s="80"/>
      <c r="K99" s="80"/>
      <c r="L99" s="80"/>
      <c r="M99" s="80"/>
      <c r="N99" s="80"/>
      <c r="O99" s="80"/>
      <c r="P99" s="80"/>
      <c r="Q99" s="80"/>
      <c r="R99" s="80"/>
      <c r="S99" s="80"/>
      <c r="T99" s="80"/>
      <c r="U99" s="80"/>
      <c r="AZ99" s="80"/>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CX99" s="80"/>
      <c r="CY99" s="80"/>
      <c r="CZ99" s="80"/>
    </row>
    <row r="100" spans="1:104">
      <c r="A100" s="80"/>
      <c r="B100" s="80"/>
      <c r="C100" s="80"/>
      <c r="D100" s="80"/>
      <c r="E100" s="80"/>
      <c r="F100" s="80"/>
      <c r="G100" s="80"/>
      <c r="H100" s="80"/>
      <c r="I100" s="80"/>
      <c r="J100" s="80"/>
      <c r="K100" s="80"/>
      <c r="L100" s="80"/>
      <c r="M100" s="80"/>
      <c r="N100" s="80"/>
      <c r="O100" s="80"/>
      <c r="P100" s="80"/>
      <c r="Q100" s="80"/>
      <c r="R100" s="80"/>
      <c r="S100" s="80"/>
      <c r="T100" s="80"/>
      <c r="U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CX100" s="80"/>
      <c r="CY100" s="80"/>
      <c r="CZ100" s="80"/>
    </row>
    <row r="101" spans="1:104">
      <c r="A101" s="80"/>
      <c r="B101" s="80"/>
      <c r="C101" s="80"/>
      <c r="D101" s="80"/>
      <c r="E101" s="80"/>
      <c r="F101" s="80"/>
      <c r="G101" s="80"/>
      <c r="H101" s="80"/>
      <c r="I101" s="80"/>
      <c r="J101" s="80"/>
      <c r="K101" s="80"/>
      <c r="L101" s="80"/>
      <c r="M101" s="80"/>
      <c r="N101" s="80"/>
      <c r="O101" s="80"/>
      <c r="P101" s="80"/>
      <c r="Q101" s="80"/>
      <c r="R101" s="80"/>
      <c r="S101" s="80"/>
      <c r="T101" s="80"/>
      <c r="U101" s="80"/>
      <c r="AZ101" s="80"/>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CB101" s="80"/>
      <c r="CC101" s="80"/>
      <c r="CD101" s="80"/>
      <c r="CE101" s="80"/>
      <c r="CF101" s="80"/>
      <c r="CG101" s="80"/>
      <c r="CH101" s="80"/>
      <c r="CI101" s="80"/>
      <c r="CJ101" s="80"/>
      <c r="CK101" s="80"/>
      <c r="CL101" s="80"/>
      <c r="CM101" s="80"/>
      <c r="CN101" s="80"/>
      <c r="CO101" s="80"/>
      <c r="CP101" s="80"/>
      <c r="CQ101" s="80"/>
      <c r="CR101" s="80"/>
      <c r="CS101" s="80"/>
      <c r="CT101" s="80"/>
      <c r="CU101" s="80"/>
      <c r="CV101" s="80"/>
      <c r="CW101" s="80"/>
      <c r="CX101" s="80"/>
      <c r="CY101" s="80"/>
      <c r="CZ101" s="80"/>
    </row>
    <row r="102" spans="1:104">
      <c r="A102" s="80"/>
      <c r="B102" s="80"/>
      <c r="C102" s="80"/>
      <c r="D102" s="80"/>
      <c r="E102" s="80"/>
      <c r="F102" s="80"/>
      <c r="G102" s="80"/>
      <c r="H102" s="80"/>
      <c r="I102" s="80"/>
      <c r="J102" s="80"/>
      <c r="K102" s="80"/>
      <c r="L102" s="80"/>
      <c r="M102" s="80"/>
      <c r="N102" s="80"/>
      <c r="O102" s="80"/>
      <c r="P102" s="80"/>
      <c r="Q102" s="80"/>
      <c r="R102" s="80"/>
      <c r="S102" s="80"/>
      <c r="T102" s="80"/>
      <c r="U102" s="80"/>
      <c r="AZ102" s="80"/>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CB102" s="80"/>
      <c r="CC102" s="80"/>
      <c r="CD102" s="80"/>
      <c r="CE102" s="80"/>
      <c r="CF102" s="80"/>
      <c r="CG102" s="80"/>
      <c r="CH102" s="80"/>
      <c r="CI102" s="80"/>
      <c r="CJ102" s="80"/>
      <c r="CK102" s="80"/>
      <c r="CL102" s="80"/>
      <c r="CM102" s="80"/>
      <c r="CN102" s="80"/>
      <c r="CO102" s="80"/>
      <c r="CP102" s="80"/>
      <c r="CQ102" s="80"/>
      <c r="CR102" s="80"/>
      <c r="CS102" s="80"/>
      <c r="CT102" s="80"/>
      <c r="CU102" s="80"/>
      <c r="CV102" s="80"/>
      <c r="CW102" s="80"/>
      <c r="CX102" s="80"/>
      <c r="CY102" s="80"/>
      <c r="CZ102" s="80"/>
    </row>
    <row r="103" spans="1:104">
      <c r="A103" s="80"/>
      <c r="B103" s="80"/>
      <c r="C103" s="80"/>
      <c r="D103" s="80"/>
      <c r="E103" s="80"/>
      <c r="F103" s="80"/>
      <c r="G103" s="80"/>
      <c r="H103" s="80"/>
      <c r="I103" s="80"/>
      <c r="J103" s="80"/>
      <c r="K103" s="80"/>
      <c r="L103" s="80"/>
      <c r="M103" s="80"/>
      <c r="N103" s="80"/>
      <c r="O103" s="80"/>
      <c r="P103" s="80"/>
      <c r="Q103" s="80"/>
      <c r="R103" s="80"/>
      <c r="S103" s="80"/>
      <c r="T103" s="80"/>
      <c r="U103" s="80"/>
      <c r="AZ103" s="80"/>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CB103" s="80"/>
      <c r="CC103" s="80"/>
      <c r="CD103" s="80"/>
      <c r="CE103" s="80"/>
      <c r="CF103" s="80"/>
      <c r="CG103" s="80"/>
      <c r="CH103" s="80"/>
      <c r="CI103" s="80"/>
      <c r="CJ103" s="80"/>
      <c r="CK103" s="80"/>
      <c r="CL103" s="80"/>
      <c r="CM103" s="80"/>
      <c r="CN103" s="80"/>
      <c r="CO103" s="80"/>
      <c r="CP103" s="80"/>
      <c r="CQ103" s="80"/>
      <c r="CR103" s="80"/>
      <c r="CS103" s="80"/>
      <c r="CT103" s="80"/>
      <c r="CU103" s="80"/>
      <c r="CV103" s="80"/>
      <c r="CW103" s="80"/>
      <c r="CX103" s="80"/>
      <c r="CY103" s="80"/>
      <c r="CZ103" s="80"/>
    </row>
    <row r="104" spans="1:104">
      <c r="A104" s="80"/>
      <c r="B104" s="80"/>
      <c r="C104" s="80"/>
      <c r="D104" s="80"/>
      <c r="E104" s="80"/>
      <c r="F104" s="80"/>
      <c r="G104" s="80"/>
      <c r="H104" s="80"/>
      <c r="I104" s="80"/>
      <c r="J104" s="80"/>
      <c r="K104" s="80"/>
      <c r="L104" s="80"/>
      <c r="M104" s="80"/>
      <c r="N104" s="80"/>
      <c r="O104" s="80"/>
      <c r="P104" s="80"/>
      <c r="Q104" s="80"/>
      <c r="R104" s="80"/>
      <c r="S104" s="80"/>
      <c r="T104" s="80"/>
      <c r="U104" s="80"/>
      <c r="AZ104" s="80"/>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CB104" s="80"/>
      <c r="CC104" s="80"/>
      <c r="CD104" s="80"/>
      <c r="CE104" s="80"/>
      <c r="CF104" s="80"/>
      <c r="CG104" s="80"/>
      <c r="CH104" s="80"/>
      <c r="CI104" s="80"/>
      <c r="CJ104" s="80"/>
      <c r="CK104" s="80"/>
      <c r="CL104" s="80"/>
      <c r="CM104" s="80"/>
      <c r="CN104" s="80"/>
      <c r="CO104" s="80"/>
      <c r="CP104" s="80"/>
      <c r="CQ104" s="80"/>
      <c r="CR104" s="80"/>
      <c r="CS104" s="80"/>
      <c r="CT104" s="80"/>
      <c r="CU104" s="80"/>
      <c r="CV104" s="80"/>
      <c r="CW104" s="80"/>
      <c r="CX104" s="80"/>
      <c r="CY104" s="80"/>
      <c r="CZ104" s="80"/>
    </row>
    <row r="105" spans="1:104">
      <c r="A105" s="80"/>
      <c r="B105" s="80"/>
      <c r="C105" s="80"/>
      <c r="D105" s="80"/>
      <c r="E105" s="80"/>
      <c r="F105" s="80"/>
      <c r="G105" s="80"/>
      <c r="H105" s="80"/>
      <c r="I105" s="80"/>
      <c r="J105" s="80"/>
      <c r="K105" s="80"/>
      <c r="L105" s="80"/>
      <c r="M105" s="80"/>
      <c r="N105" s="80"/>
      <c r="O105" s="80"/>
      <c r="P105" s="80"/>
      <c r="Q105" s="80"/>
      <c r="R105" s="80"/>
      <c r="S105" s="80"/>
      <c r="T105" s="80"/>
      <c r="U105" s="80"/>
      <c r="AZ105" s="80"/>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CB105" s="80"/>
      <c r="CC105" s="80"/>
      <c r="CD105" s="80"/>
      <c r="CE105" s="80"/>
      <c r="CF105" s="80"/>
      <c r="CG105" s="80"/>
      <c r="CH105" s="80"/>
      <c r="CI105" s="80"/>
      <c r="CJ105" s="80"/>
      <c r="CK105" s="80"/>
      <c r="CL105" s="80"/>
      <c r="CM105" s="80"/>
      <c r="CN105" s="80"/>
      <c r="CO105" s="80"/>
      <c r="CP105" s="80"/>
      <c r="CQ105" s="80"/>
      <c r="CR105" s="80"/>
      <c r="CS105" s="80"/>
      <c r="CT105" s="80"/>
      <c r="CU105" s="80"/>
      <c r="CV105" s="80"/>
      <c r="CW105" s="80"/>
      <c r="CX105" s="80"/>
      <c r="CY105" s="80"/>
      <c r="CZ105" s="80"/>
    </row>
    <row r="106" spans="1:104">
      <c r="A106" s="80"/>
      <c r="B106" s="80"/>
      <c r="C106" s="80"/>
      <c r="D106" s="80"/>
      <c r="E106" s="80"/>
      <c r="F106" s="80"/>
      <c r="G106" s="80"/>
      <c r="H106" s="80"/>
      <c r="I106" s="80"/>
      <c r="J106" s="80"/>
      <c r="K106" s="80"/>
      <c r="L106" s="80"/>
      <c r="M106" s="80"/>
      <c r="N106" s="80"/>
      <c r="O106" s="80"/>
      <c r="P106" s="80"/>
      <c r="Q106" s="80"/>
      <c r="R106" s="80"/>
      <c r="S106" s="80"/>
      <c r="T106" s="80"/>
      <c r="U106" s="80"/>
      <c r="AZ106" s="80"/>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80"/>
      <c r="BZ106" s="80"/>
      <c r="CA106" s="80"/>
      <c r="CB106" s="80"/>
      <c r="CC106" s="80"/>
      <c r="CD106" s="80"/>
      <c r="CE106" s="80"/>
      <c r="CF106" s="80"/>
      <c r="CG106" s="80"/>
      <c r="CH106" s="80"/>
      <c r="CI106" s="80"/>
      <c r="CJ106" s="80"/>
      <c r="CK106" s="80"/>
      <c r="CL106" s="80"/>
      <c r="CM106" s="80"/>
      <c r="CN106" s="80"/>
      <c r="CO106" s="80"/>
      <c r="CP106" s="80"/>
      <c r="CQ106" s="80"/>
      <c r="CR106" s="80"/>
      <c r="CS106" s="80"/>
      <c r="CT106" s="80"/>
      <c r="CU106" s="80"/>
      <c r="CV106" s="80"/>
      <c r="CW106" s="80"/>
      <c r="CX106" s="80"/>
      <c r="CY106" s="80"/>
      <c r="CZ106" s="80"/>
    </row>
    <row r="107" spans="1:104">
      <c r="A107" s="80"/>
      <c r="B107" s="80"/>
      <c r="C107" s="80"/>
      <c r="D107" s="80"/>
      <c r="E107" s="80"/>
      <c r="F107" s="80"/>
      <c r="G107" s="80"/>
      <c r="H107" s="80"/>
      <c r="I107" s="80"/>
      <c r="J107" s="80"/>
      <c r="K107" s="80"/>
      <c r="L107" s="80"/>
      <c r="M107" s="80"/>
      <c r="N107" s="80"/>
      <c r="O107" s="80"/>
      <c r="P107" s="80"/>
      <c r="Q107" s="80"/>
      <c r="R107" s="80"/>
      <c r="S107" s="80"/>
      <c r="T107" s="80"/>
      <c r="U107" s="80"/>
      <c r="AZ107" s="80"/>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80"/>
      <c r="BZ107" s="80"/>
      <c r="CA107" s="80"/>
      <c r="CB107" s="80"/>
      <c r="CC107" s="80"/>
      <c r="CD107" s="80"/>
      <c r="CE107" s="80"/>
      <c r="CF107" s="80"/>
      <c r="CG107" s="80"/>
      <c r="CH107" s="80"/>
      <c r="CI107" s="80"/>
      <c r="CJ107" s="80"/>
      <c r="CK107" s="80"/>
      <c r="CL107" s="80"/>
      <c r="CM107" s="80"/>
      <c r="CN107" s="80"/>
      <c r="CO107" s="80"/>
      <c r="CP107" s="80"/>
      <c r="CQ107" s="80"/>
      <c r="CR107" s="80"/>
      <c r="CS107" s="80"/>
      <c r="CT107" s="80"/>
      <c r="CU107" s="80"/>
      <c r="CV107" s="80"/>
      <c r="CW107" s="80"/>
      <c r="CX107" s="80"/>
      <c r="CY107" s="80"/>
      <c r="CZ107" s="80"/>
    </row>
    <row r="108" spans="1:104">
      <c r="A108" s="80"/>
      <c r="B108" s="80"/>
      <c r="C108" s="80"/>
      <c r="D108" s="80"/>
      <c r="E108" s="80"/>
      <c r="F108" s="80"/>
      <c r="G108" s="80"/>
      <c r="H108" s="80"/>
      <c r="I108" s="80"/>
      <c r="J108" s="80"/>
      <c r="K108" s="80"/>
      <c r="L108" s="80"/>
      <c r="M108" s="80"/>
      <c r="N108" s="80"/>
      <c r="O108" s="80"/>
      <c r="P108" s="80"/>
      <c r="Q108" s="80"/>
      <c r="R108" s="80"/>
      <c r="S108" s="80"/>
      <c r="T108" s="80"/>
      <c r="U108" s="80"/>
      <c r="AZ108" s="80"/>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80"/>
      <c r="BZ108" s="80"/>
      <c r="CA108" s="80"/>
      <c r="CB108" s="80"/>
      <c r="CC108" s="80"/>
      <c r="CD108" s="80"/>
      <c r="CE108" s="80"/>
      <c r="CF108" s="80"/>
      <c r="CG108" s="80"/>
      <c r="CH108" s="80"/>
      <c r="CI108" s="80"/>
      <c r="CJ108" s="80"/>
      <c r="CK108" s="80"/>
      <c r="CL108" s="80"/>
      <c r="CM108" s="80"/>
      <c r="CN108" s="80"/>
      <c r="CO108" s="80"/>
      <c r="CP108" s="80"/>
      <c r="CQ108" s="80"/>
      <c r="CR108" s="80"/>
      <c r="CS108" s="80"/>
      <c r="CT108" s="80"/>
      <c r="CU108" s="80"/>
      <c r="CV108" s="80"/>
      <c r="CW108" s="80"/>
      <c r="CX108" s="80"/>
      <c r="CY108" s="80"/>
      <c r="CZ108" s="80"/>
    </row>
    <row r="109" spans="1:104">
      <c r="A109" s="80"/>
      <c r="B109" s="80"/>
      <c r="C109" s="80"/>
      <c r="D109" s="80"/>
      <c r="E109" s="80"/>
      <c r="F109" s="80"/>
      <c r="G109" s="80"/>
      <c r="H109" s="80"/>
      <c r="I109" s="80"/>
      <c r="J109" s="80"/>
      <c r="K109" s="80"/>
      <c r="L109" s="80"/>
      <c r="M109" s="80"/>
      <c r="N109" s="80"/>
      <c r="O109" s="80"/>
      <c r="P109" s="80"/>
      <c r="Q109" s="80"/>
      <c r="R109" s="80"/>
      <c r="S109" s="80"/>
      <c r="T109" s="80"/>
      <c r="U109" s="80"/>
      <c r="AZ109" s="80"/>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80"/>
      <c r="BZ109" s="80"/>
      <c r="CA109" s="80"/>
      <c r="CB109" s="80"/>
      <c r="CC109" s="80"/>
      <c r="CD109" s="80"/>
      <c r="CE109" s="80"/>
      <c r="CF109" s="80"/>
      <c r="CG109" s="80"/>
      <c r="CH109" s="80"/>
      <c r="CI109" s="80"/>
      <c r="CJ109" s="80"/>
      <c r="CK109" s="80"/>
      <c r="CL109" s="80"/>
      <c r="CM109" s="80"/>
      <c r="CN109" s="80"/>
      <c r="CO109" s="80"/>
      <c r="CP109" s="80"/>
      <c r="CQ109" s="80"/>
      <c r="CR109" s="80"/>
      <c r="CS109" s="80"/>
      <c r="CT109" s="80"/>
      <c r="CU109" s="80"/>
      <c r="CV109" s="80"/>
      <c r="CW109" s="80"/>
      <c r="CX109" s="80"/>
      <c r="CY109" s="80"/>
      <c r="CZ109" s="80"/>
    </row>
  </sheetData>
  <mergeCells count="3">
    <mergeCell ref="A4:C4"/>
    <mergeCell ref="A2:C2"/>
    <mergeCell ref="A3:C3"/>
  </mergeCells>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77" r:id="rId3" name="Button 29">
              <controlPr defaultSize="0" print="0" autoFill="0" autoPict="0" macro="[0]!Clear_Old_Info">
                <anchor moveWithCells="1" sizeWithCells="1">
                  <from>
                    <xdr:col>10</xdr:col>
                    <xdr:colOff>38100</xdr:colOff>
                    <xdr:row>0</xdr:row>
                    <xdr:rowOff>142875</xdr:rowOff>
                  </from>
                  <to>
                    <xdr:col>12</xdr:col>
                    <xdr:colOff>695325</xdr:colOff>
                    <xdr:row>4</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41"/>
  </sheetPr>
  <dimension ref="A1:AJ150"/>
  <sheetViews>
    <sheetView zoomScale="80" zoomScaleNormal="80" zoomScalePageLayoutView="80" workbookViewId="0">
      <selection activeCell="AC16" sqref="AC16"/>
    </sheetView>
  </sheetViews>
  <sheetFormatPr defaultColWidth="8.85546875" defaultRowHeight="12.75"/>
  <cols>
    <col min="1" max="1" width="2.140625" customWidth="1"/>
  </cols>
  <sheetData>
    <row r="1" spans="1:36" ht="15.75">
      <c r="A1" s="127"/>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row>
    <row r="2" spans="1:36" ht="15.75">
      <c r="A2" s="127"/>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row>
    <row r="3" spans="1:36" ht="15.75">
      <c r="A3" s="127"/>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row>
    <row r="4" spans="1:36" ht="15.75">
      <c r="A4" s="127"/>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row>
    <row r="5" spans="1:36" ht="15.75">
      <c r="A5" s="127"/>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row>
    <row r="6" spans="1:36" ht="15.75">
      <c r="A6" s="127"/>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row>
    <row r="7" spans="1:36" ht="15.75">
      <c r="A7" s="127"/>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row>
    <row r="8" spans="1:36" ht="15.75">
      <c r="A8" s="127"/>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row>
    <row r="9" spans="1:36" ht="15.75">
      <c r="A9" s="127"/>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row>
    <row r="10" spans="1:36" ht="15.75">
      <c r="A10" s="127"/>
      <c r="B10" s="80"/>
      <c r="C10" s="80"/>
      <c r="D10" s="80"/>
      <c r="E10" s="80"/>
      <c r="F10" s="80"/>
      <c r="G10" s="80"/>
      <c r="H10" s="80"/>
      <c r="I10" s="80"/>
      <c r="J10" s="80"/>
      <c r="K10" s="80"/>
      <c r="L10" s="80"/>
      <c r="M10" s="80"/>
      <c r="N10" s="80"/>
      <c r="O10" s="80"/>
      <c r="P10" s="80"/>
      <c r="Q10" s="80"/>
      <c r="R10" s="80"/>
      <c r="S10" s="80"/>
      <c r="T10" s="80"/>
      <c r="U10" s="80"/>
      <c r="V10" s="80"/>
      <c r="W10" s="80"/>
      <c r="X10" s="80"/>
      <c r="Y10" s="80"/>
      <c r="Z10" s="80"/>
      <c r="AA10" s="80"/>
      <c r="AB10" s="80"/>
      <c r="AC10" s="80"/>
      <c r="AD10" s="80"/>
      <c r="AE10" s="80"/>
      <c r="AF10" s="80"/>
      <c r="AG10" s="80"/>
      <c r="AH10" s="80"/>
      <c r="AI10" s="80"/>
      <c r="AJ10" s="80"/>
    </row>
    <row r="11" spans="1:36" ht="15.75">
      <c r="A11" s="127"/>
      <c r="B11" s="80"/>
      <c r="C11" s="80"/>
      <c r="D11" s="80"/>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row>
    <row r="12" spans="1:36" ht="15.75">
      <c r="A12" s="127"/>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row>
    <row r="13" spans="1:36" ht="15.75">
      <c r="A13" s="127"/>
      <c r="B13" s="80"/>
      <c r="C13" s="80"/>
      <c r="D13" s="80"/>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row>
    <row r="14" spans="1:36" ht="15.75">
      <c r="A14" s="127"/>
      <c r="B14" s="80"/>
      <c r="C14" s="80"/>
      <c r="D14" s="80"/>
      <c r="E14" s="80"/>
      <c r="F14" s="80"/>
      <c r="G14" s="80"/>
      <c r="H14" s="80"/>
      <c r="I14" s="80"/>
      <c r="J14" s="80"/>
      <c r="K14" s="80"/>
      <c r="L14" s="80"/>
      <c r="M14" s="80"/>
      <c r="N14" s="80"/>
      <c r="O14" s="80"/>
      <c r="P14" s="80"/>
      <c r="Q14" s="80"/>
      <c r="R14" s="80"/>
      <c r="S14" s="80"/>
      <c r="T14" s="80"/>
      <c r="U14" s="80"/>
      <c r="V14" s="80"/>
      <c r="W14" s="80"/>
      <c r="X14" s="80"/>
      <c r="Y14" s="80"/>
      <c r="Z14" s="80"/>
      <c r="AA14" s="80"/>
      <c r="AB14" s="80"/>
      <c r="AC14" s="80"/>
      <c r="AD14" s="80"/>
      <c r="AE14" s="80"/>
      <c r="AF14" s="80"/>
      <c r="AG14" s="80"/>
      <c r="AH14" s="80"/>
      <c r="AI14" s="80"/>
      <c r="AJ14" s="80"/>
    </row>
    <row r="15" spans="1:36" ht="15.75">
      <c r="A15" s="127"/>
      <c r="B15" s="80"/>
      <c r="C15" s="80"/>
      <c r="D15" s="80"/>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80"/>
      <c r="AE15" s="80"/>
      <c r="AF15" s="80"/>
      <c r="AG15" s="80"/>
      <c r="AH15" s="80"/>
      <c r="AI15" s="80"/>
      <c r="AJ15" s="80"/>
    </row>
    <row r="16" spans="1:36" ht="15.75">
      <c r="A16" s="127"/>
      <c r="B16" s="80"/>
      <c r="C16" s="80"/>
      <c r="D16" s="80"/>
      <c r="E16" s="80"/>
      <c r="F16" s="80"/>
      <c r="G16" s="80"/>
      <c r="H16" s="80"/>
      <c r="I16" s="80"/>
      <c r="J16" s="80"/>
      <c r="K16" s="80"/>
      <c r="L16" s="80"/>
      <c r="M16" s="80"/>
      <c r="N16" s="80"/>
      <c r="O16" s="80"/>
      <c r="P16" s="80"/>
      <c r="Q16" s="80"/>
      <c r="R16" s="80"/>
      <c r="S16" s="80"/>
      <c r="T16" s="80"/>
      <c r="U16" s="80"/>
      <c r="V16" s="80"/>
      <c r="W16" s="80"/>
      <c r="X16" s="80"/>
      <c r="Y16" s="80"/>
      <c r="Z16" s="80"/>
      <c r="AA16" s="80"/>
      <c r="AB16" s="80"/>
      <c r="AC16" s="80"/>
      <c r="AD16" s="80"/>
      <c r="AE16" s="80"/>
      <c r="AF16" s="80"/>
      <c r="AG16" s="80"/>
      <c r="AH16" s="80"/>
      <c r="AI16" s="80"/>
      <c r="AJ16" s="80"/>
    </row>
    <row r="17" spans="1:36" ht="15.75">
      <c r="A17" s="127"/>
      <c r="B17" s="80"/>
      <c r="C17" s="80"/>
      <c r="D17" s="80"/>
      <c r="E17" s="80"/>
      <c r="F17" s="80"/>
      <c r="G17" s="80"/>
      <c r="H17" s="80"/>
      <c r="I17" s="80"/>
      <c r="J17" s="80"/>
      <c r="K17" s="80"/>
      <c r="L17" s="80"/>
      <c r="M17" s="80"/>
      <c r="N17" s="80"/>
      <c r="O17" s="80"/>
      <c r="P17" s="80"/>
      <c r="Q17" s="80"/>
      <c r="R17" s="80"/>
      <c r="S17" s="80"/>
      <c r="T17" s="80"/>
      <c r="U17" s="80"/>
      <c r="V17" s="80"/>
      <c r="W17" s="80"/>
      <c r="X17" s="80"/>
      <c r="Y17" s="80"/>
      <c r="Z17" s="80"/>
      <c r="AA17" s="80"/>
      <c r="AB17" s="80"/>
      <c r="AC17" s="80"/>
      <c r="AD17" s="80"/>
      <c r="AE17" s="80"/>
      <c r="AF17" s="80"/>
      <c r="AG17" s="80"/>
      <c r="AH17" s="80"/>
      <c r="AI17" s="80"/>
      <c r="AJ17" s="80"/>
    </row>
    <row r="18" spans="1:36" ht="15.75">
      <c r="A18" s="127"/>
      <c r="B18" s="80"/>
      <c r="C18" s="80"/>
      <c r="D18" s="80"/>
      <c r="E18" s="80"/>
      <c r="F18" s="80"/>
      <c r="G18" s="80"/>
      <c r="H18" s="80"/>
      <c r="I18" s="80"/>
      <c r="J18" s="80"/>
      <c r="K18" s="80"/>
      <c r="L18" s="80"/>
      <c r="M18" s="80"/>
      <c r="N18" s="80"/>
      <c r="O18" s="80"/>
      <c r="P18" s="80"/>
      <c r="Q18" s="80"/>
      <c r="R18" s="80"/>
      <c r="S18" s="80"/>
      <c r="T18" s="80"/>
      <c r="U18" s="80"/>
      <c r="V18" s="80"/>
      <c r="W18" s="80"/>
      <c r="X18" s="80"/>
      <c r="Y18" s="80"/>
      <c r="Z18" s="80"/>
      <c r="AA18" s="80"/>
      <c r="AB18" s="80"/>
      <c r="AC18" s="80"/>
      <c r="AD18" s="80"/>
      <c r="AE18" s="80"/>
      <c r="AF18" s="80"/>
      <c r="AG18" s="80"/>
      <c r="AH18" s="80"/>
      <c r="AI18" s="80"/>
      <c r="AJ18" s="80"/>
    </row>
    <row r="19" spans="1:36" ht="15.75">
      <c r="A19" s="127"/>
      <c r="B19" s="80"/>
      <c r="C19" s="80"/>
      <c r="D19" s="80"/>
      <c r="E19" s="80"/>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row>
    <row r="20" spans="1:36" ht="15.75">
      <c r="A20" s="127"/>
      <c r="B20" s="80"/>
      <c r="C20" s="80"/>
      <c r="D20" s="80"/>
      <c r="E20" s="80"/>
      <c r="F20" s="80"/>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row>
    <row r="21" spans="1:36" ht="15.75">
      <c r="A21" s="127"/>
      <c r="B21" s="80"/>
      <c r="C21" s="80"/>
      <c r="D21" s="80"/>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row>
    <row r="22" spans="1:36" ht="15.75">
      <c r="A22" s="127"/>
      <c r="B22" s="80"/>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row>
    <row r="23" spans="1:36" ht="15.75">
      <c r="A23" s="127"/>
      <c r="B23" s="80"/>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row>
    <row r="24" spans="1:36" ht="15.75">
      <c r="A24" s="127"/>
      <c r="B24" s="80"/>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row>
    <row r="25" spans="1:36" ht="15.75">
      <c r="A25" s="127"/>
      <c r="B25" s="80"/>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row>
    <row r="26" spans="1:36" ht="15.75">
      <c r="A26" s="127"/>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row>
    <row r="27" spans="1:36" ht="15.75">
      <c r="A27" s="127"/>
      <c r="B27" s="80"/>
      <c r="C27" s="80"/>
      <c r="D27" s="80"/>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row>
    <row r="28" spans="1:36" ht="15.75">
      <c r="A28" s="127"/>
      <c r="B28" s="80"/>
      <c r="C28" s="80"/>
      <c r="D28" s="80"/>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row>
    <row r="29" spans="1:36" ht="15.75">
      <c r="A29" s="127"/>
      <c r="B29" s="80"/>
      <c r="C29" s="80"/>
      <c r="D29" s="80"/>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row>
    <row r="30" spans="1:36" ht="15.75">
      <c r="A30" s="127"/>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row>
    <row r="31" spans="1:36" ht="15.75">
      <c r="A31" s="127"/>
      <c r="B31" s="80"/>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row>
    <row r="32" spans="1:36" ht="15.75">
      <c r="A32" s="127"/>
      <c r="B32" s="80"/>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row>
    <row r="33" spans="1:36" ht="15.75">
      <c r="A33" s="127"/>
      <c r="B33" s="80"/>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row>
    <row r="34" spans="1:36" ht="15.75">
      <c r="A34" s="127"/>
      <c r="B34" s="80"/>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row>
    <row r="35" spans="1:36" ht="15.75">
      <c r="A35" s="127"/>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row>
    <row r="36" spans="1:36" ht="15.75">
      <c r="A36" s="127"/>
      <c r="B36" s="80"/>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row>
    <row r="37" spans="1:36" ht="15.75">
      <c r="A37" s="127"/>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row>
    <row r="38" spans="1:36" ht="15.75">
      <c r="A38" s="127"/>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row>
    <row r="39" spans="1:36" ht="15.75">
      <c r="A39" s="127"/>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row>
    <row r="40" spans="1:36" ht="15.75">
      <c r="A40" s="127"/>
      <c r="B40" s="80"/>
      <c r="C40" s="80"/>
      <c r="D40" s="80"/>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row>
    <row r="41" spans="1:36" ht="15.75">
      <c r="A41" s="127"/>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row>
    <row r="42" spans="1:36" ht="15.75">
      <c r="A42" s="127"/>
      <c r="B42" s="80"/>
      <c r="C42" s="80"/>
      <c r="D42" s="80"/>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row>
    <row r="43" spans="1:36" ht="15.75">
      <c r="A43" s="127"/>
      <c r="B43" s="80"/>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row>
    <row r="44" spans="1:36" ht="15.75">
      <c r="A44" s="127"/>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row>
    <row r="45" spans="1:36" ht="15.75">
      <c r="A45" s="127"/>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row>
    <row r="46" spans="1:36" ht="15.75">
      <c r="A46" s="127"/>
      <c r="B46" s="80"/>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row>
    <row r="47" spans="1:36" ht="15.75">
      <c r="A47" s="127"/>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row>
    <row r="48" spans="1:36" ht="15.75">
      <c r="A48" s="127"/>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row>
    <row r="49" spans="1:36" ht="15.75">
      <c r="A49" s="127"/>
      <c r="B49" s="80"/>
      <c r="C49" s="80"/>
      <c r="D49" s="80"/>
      <c r="E49" s="80"/>
      <c r="F49" s="80"/>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row>
    <row r="50" spans="1:36" ht="15.75">
      <c r="A50" s="127"/>
      <c r="B50" s="80"/>
      <c r="C50" s="80"/>
      <c r="D50" s="80"/>
      <c r="E50" s="80"/>
      <c r="F50" s="80"/>
      <c r="G50" s="80"/>
      <c r="H50" s="80"/>
      <c r="I50" s="80"/>
      <c r="J50" s="80"/>
      <c r="K50" s="80"/>
      <c r="L50" s="80"/>
      <c r="M50" s="80"/>
      <c r="N50" s="80"/>
      <c r="O50" s="80"/>
      <c r="P50" s="80"/>
      <c r="Q50" s="80"/>
      <c r="R50" s="80"/>
      <c r="S50" s="80"/>
      <c r="T50" s="80"/>
      <c r="U50" s="80"/>
      <c r="V50" s="80"/>
      <c r="W50" s="80"/>
      <c r="X50" s="80"/>
      <c r="Y50" s="80"/>
      <c r="Z50" s="80"/>
      <c r="AA50" s="80"/>
      <c r="AB50" s="80"/>
      <c r="AC50" s="80"/>
      <c r="AD50" s="80"/>
      <c r="AE50" s="80"/>
      <c r="AF50" s="80"/>
      <c r="AG50" s="80"/>
      <c r="AH50" s="80"/>
      <c r="AI50" s="80"/>
      <c r="AJ50" s="80"/>
    </row>
    <row r="51" spans="1:36">
      <c r="A51" s="80"/>
      <c r="B51" s="80"/>
      <c r="C51" s="80"/>
      <c r="D51" s="80"/>
      <c r="E51" s="80"/>
      <c r="F51" s="80"/>
      <c r="G51" s="80"/>
      <c r="H51" s="80"/>
      <c r="I51" s="80"/>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c r="AJ51" s="80"/>
    </row>
    <row r="52" spans="1:36">
      <c r="A52" s="80"/>
      <c r="B52" s="80"/>
      <c r="C52" s="80"/>
      <c r="D52" s="80"/>
      <c r="E52" s="80"/>
      <c r="F52" s="80"/>
      <c r="G52" s="80"/>
      <c r="H52" s="80"/>
      <c r="I52" s="80"/>
      <c r="J52" s="80"/>
      <c r="K52" s="80"/>
      <c r="L52" s="80"/>
      <c r="M52" s="80"/>
      <c r="N52" s="80"/>
      <c r="O52" s="80"/>
      <c r="P52" s="80"/>
      <c r="Q52" s="80"/>
      <c r="R52" s="80"/>
      <c r="S52" s="80"/>
      <c r="T52" s="80"/>
      <c r="U52" s="80"/>
      <c r="V52" s="80"/>
      <c r="W52" s="80"/>
      <c r="X52" s="80"/>
      <c r="Y52" s="80"/>
      <c r="Z52" s="80"/>
      <c r="AA52" s="80"/>
      <c r="AB52" s="80"/>
      <c r="AC52" s="80"/>
      <c r="AD52" s="80"/>
      <c r="AE52" s="80"/>
      <c r="AF52" s="80"/>
      <c r="AG52" s="80"/>
      <c r="AH52" s="80"/>
      <c r="AI52" s="80"/>
      <c r="AJ52" s="80"/>
    </row>
    <row r="53" spans="1:36">
      <c r="A53" s="80"/>
      <c r="B53" s="80"/>
      <c r="C53" s="80"/>
      <c r="D53" s="80"/>
      <c r="E53" s="80"/>
      <c r="F53" s="80"/>
      <c r="G53" s="80"/>
      <c r="H53" s="80"/>
      <c r="I53" s="80"/>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c r="AJ53" s="80"/>
    </row>
    <row r="54" spans="1:36">
      <c r="A54" s="80"/>
      <c r="B54" s="80"/>
      <c r="C54" s="80"/>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row>
    <row r="55" spans="1:36">
      <c r="A55" s="80"/>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row>
    <row r="56" spans="1:36">
      <c r="A56" s="80"/>
      <c r="B56" s="80"/>
      <c r="C56" s="80"/>
      <c r="D56" s="80"/>
      <c r="E56" s="80"/>
      <c r="F56" s="80"/>
      <c r="G56" s="80"/>
      <c r="H56" s="80"/>
      <c r="I56" s="80"/>
      <c r="J56" s="80"/>
      <c r="K56" s="80"/>
      <c r="L56" s="80"/>
      <c r="M56" s="80"/>
      <c r="N56" s="80"/>
      <c r="O56" s="80"/>
      <c r="P56" s="80"/>
      <c r="Q56" s="80"/>
      <c r="R56" s="80"/>
      <c r="S56" s="80"/>
      <c r="T56" s="80"/>
      <c r="U56" s="80"/>
      <c r="V56" s="80"/>
      <c r="W56" s="80"/>
      <c r="X56" s="80"/>
      <c r="Y56" s="80"/>
      <c r="Z56" s="80"/>
      <c r="AA56" s="80"/>
      <c r="AB56" s="80"/>
      <c r="AC56" s="80"/>
      <c r="AD56" s="80"/>
      <c r="AE56" s="80"/>
      <c r="AF56" s="80"/>
      <c r="AG56" s="80"/>
      <c r="AH56" s="80"/>
      <c r="AI56" s="80"/>
      <c r="AJ56" s="80"/>
    </row>
    <row r="57" spans="1:36">
      <c r="A57" s="80"/>
      <c r="B57" s="80"/>
      <c r="C57" s="80"/>
      <c r="D57" s="80"/>
      <c r="E57" s="80"/>
      <c r="F57" s="80"/>
      <c r="G57" s="80"/>
      <c r="H57" s="80"/>
      <c r="I57" s="80"/>
      <c r="J57" s="80"/>
      <c r="K57" s="80"/>
      <c r="L57" s="80"/>
      <c r="M57" s="80"/>
      <c r="N57" s="80"/>
      <c r="O57" s="80"/>
      <c r="P57" s="80"/>
      <c r="Q57" s="80"/>
      <c r="R57" s="80"/>
      <c r="S57" s="80"/>
      <c r="T57" s="80"/>
      <c r="U57" s="80"/>
      <c r="V57" s="80"/>
      <c r="W57" s="80"/>
      <c r="X57" s="80"/>
      <c r="Y57" s="80"/>
      <c r="Z57" s="80"/>
      <c r="AA57" s="80"/>
      <c r="AB57" s="80"/>
      <c r="AC57" s="80"/>
      <c r="AD57" s="80"/>
      <c r="AE57" s="80"/>
      <c r="AF57" s="80"/>
      <c r="AG57" s="80"/>
      <c r="AH57" s="80"/>
      <c r="AI57" s="80"/>
      <c r="AJ57" s="80"/>
    </row>
    <row r="58" spans="1:36">
      <c r="A58" s="80"/>
      <c r="B58" s="80"/>
      <c r="C58" s="80"/>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row>
    <row r="59" spans="1:36">
      <c r="A59" s="80"/>
      <c r="B59" s="80"/>
      <c r="C59" s="80"/>
      <c r="D59" s="80"/>
      <c r="E59" s="80"/>
      <c r="F59" s="80"/>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row>
    <row r="60" spans="1:36">
      <c r="A60" s="80"/>
      <c r="B60" s="80"/>
      <c r="C60" s="80"/>
      <c r="D60" s="80"/>
      <c r="E60" s="80"/>
      <c r="F60" s="80"/>
      <c r="G60" s="80"/>
      <c r="H60" s="80"/>
      <c r="I60" s="80"/>
      <c r="J60" s="80"/>
      <c r="K60" s="80"/>
      <c r="L60" s="80"/>
      <c r="M60" s="80"/>
      <c r="N60" s="80"/>
      <c r="O60" s="80"/>
      <c r="P60" s="80"/>
      <c r="Q60" s="80"/>
      <c r="R60" s="80"/>
      <c r="S60" s="80"/>
      <c r="T60" s="80"/>
      <c r="U60" s="80"/>
      <c r="V60" s="80"/>
      <c r="W60" s="80"/>
      <c r="X60" s="80"/>
      <c r="Y60" s="80"/>
      <c r="Z60" s="80"/>
      <c r="AA60" s="80"/>
      <c r="AB60" s="80"/>
      <c r="AC60" s="80"/>
      <c r="AD60" s="80"/>
      <c r="AE60" s="80"/>
      <c r="AF60" s="80"/>
      <c r="AG60" s="80"/>
      <c r="AH60" s="80"/>
      <c r="AI60" s="80"/>
      <c r="AJ60" s="80"/>
    </row>
    <row r="61" spans="1:36">
      <c r="A61" s="80"/>
      <c r="B61" s="80"/>
      <c r="C61" s="80"/>
      <c r="D61" s="80"/>
      <c r="E61" s="80"/>
      <c r="F61" s="80"/>
      <c r="G61" s="80"/>
      <c r="H61" s="80"/>
      <c r="I61" s="80"/>
      <c r="J61" s="80"/>
      <c r="K61" s="80"/>
      <c r="L61" s="80"/>
      <c r="M61" s="80"/>
      <c r="N61" s="80"/>
      <c r="O61" s="80"/>
      <c r="P61" s="80"/>
      <c r="Q61" s="80"/>
      <c r="R61" s="80"/>
      <c r="S61" s="80"/>
      <c r="T61" s="80"/>
      <c r="U61" s="80"/>
      <c r="V61" s="80"/>
      <c r="W61" s="80"/>
      <c r="X61" s="80"/>
      <c r="Y61" s="80"/>
      <c r="Z61" s="80"/>
      <c r="AA61" s="80"/>
      <c r="AB61" s="80"/>
      <c r="AC61" s="80"/>
      <c r="AD61" s="80"/>
      <c r="AE61" s="80"/>
      <c r="AF61" s="80"/>
      <c r="AG61" s="80"/>
      <c r="AH61" s="80"/>
      <c r="AI61" s="80"/>
      <c r="AJ61" s="80"/>
    </row>
    <row r="62" spans="1:36">
      <c r="A62" s="80"/>
      <c r="B62" s="80"/>
      <c r="C62" s="80"/>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row>
    <row r="63" spans="1:36">
      <c r="A63" s="80"/>
      <c r="B63" s="80"/>
      <c r="C63" s="80"/>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row>
    <row r="64" spans="1:36">
      <c r="A64" s="80"/>
      <c r="B64" s="80"/>
      <c r="C64" s="80"/>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0"/>
      <c r="AJ64" s="80"/>
    </row>
    <row r="65" spans="1:36">
      <c r="A65" s="80"/>
      <c r="B65" s="80"/>
      <c r="C65" s="80"/>
      <c r="D65" s="80"/>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row>
    <row r="66" spans="1:36">
      <c r="A66" s="80"/>
      <c r="B66" s="80"/>
      <c r="C66" s="80"/>
      <c r="D66" s="80"/>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0"/>
      <c r="AJ66" s="80"/>
    </row>
    <row r="67" spans="1:36">
      <c r="A67" s="80"/>
      <c r="B67" s="80"/>
      <c r="C67" s="80"/>
      <c r="D67" s="80"/>
      <c r="E67" s="80"/>
      <c r="F67" s="80"/>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row>
    <row r="68" spans="1:36">
      <c r="A68" s="80"/>
      <c r="B68" s="80"/>
      <c r="C68" s="80"/>
      <c r="D68" s="80"/>
      <c r="E68" s="80"/>
      <c r="F68" s="80"/>
      <c r="G68" s="80"/>
      <c r="H68" s="80"/>
      <c r="I68" s="80"/>
      <c r="J68" s="80"/>
      <c r="K68" s="80"/>
      <c r="L68" s="80"/>
      <c r="M68" s="80"/>
      <c r="N68" s="80"/>
      <c r="O68" s="80"/>
      <c r="P68" s="80"/>
      <c r="Q68" s="80"/>
      <c r="R68" s="80"/>
      <c r="S68" s="80"/>
      <c r="T68" s="80"/>
      <c r="U68" s="80"/>
      <c r="V68" s="80"/>
      <c r="W68" s="80"/>
      <c r="X68" s="80"/>
      <c r="Y68" s="80"/>
      <c r="Z68" s="80"/>
      <c r="AA68" s="80"/>
      <c r="AB68" s="80"/>
      <c r="AC68" s="80"/>
      <c r="AD68" s="80"/>
      <c r="AE68" s="80"/>
      <c r="AF68" s="80"/>
      <c r="AG68" s="80"/>
      <c r="AH68" s="80"/>
      <c r="AI68" s="80"/>
      <c r="AJ68" s="80"/>
    </row>
    <row r="69" spans="1:36">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row>
    <row r="70" spans="1:36">
      <c r="A70" s="80"/>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80"/>
      <c r="AI70" s="80"/>
      <c r="AJ70" s="80"/>
    </row>
    <row r="71" spans="1:36">
      <c r="A71" s="80"/>
      <c r="B71" s="80"/>
      <c r="C71" s="80"/>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row>
    <row r="72" spans="1:36">
      <c r="A72" s="80"/>
      <c r="B72" s="80"/>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row>
    <row r="73" spans="1:36">
      <c r="A73" s="80"/>
      <c r="B73" s="80"/>
      <c r="C73" s="80"/>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row>
    <row r="74" spans="1:36">
      <c r="A74" s="80"/>
      <c r="B74" s="80"/>
      <c r="C74" s="80"/>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row>
    <row r="75" spans="1:36">
      <c r="A75" s="80"/>
      <c r="B75" s="80"/>
      <c r="C75" s="80"/>
      <c r="D75" s="80"/>
      <c r="E75" s="80"/>
      <c r="F75" s="80"/>
      <c r="G75" s="80"/>
      <c r="H75" s="80"/>
      <c r="I75" s="80"/>
      <c r="J75" s="80"/>
      <c r="K75" s="80"/>
      <c r="L75" s="80"/>
      <c r="M75" s="80"/>
      <c r="N75" s="80"/>
      <c r="O75" s="80"/>
      <c r="P75" s="80"/>
      <c r="Q75" s="80"/>
      <c r="R75" s="80"/>
      <c r="S75" s="80"/>
      <c r="T75" s="80"/>
      <c r="U75" s="80"/>
      <c r="V75" s="80"/>
      <c r="W75" s="80"/>
      <c r="X75" s="80"/>
      <c r="Y75" s="80"/>
      <c r="Z75" s="80"/>
      <c r="AA75" s="80"/>
      <c r="AB75" s="80"/>
      <c r="AC75" s="80"/>
      <c r="AD75" s="80"/>
      <c r="AE75" s="80"/>
      <c r="AF75" s="80"/>
      <c r="AG75" s="80"/>
      <c r="AH75" s="80"/>
      <c r="AI75" s="80"/>
      <c r="AJ75" s="80"/>
    </row>
    <row r="76" spans="1:36">
      <c r="A76" s="80"/>
      <c r="B76" s="80"/>
      <c r="C76" s="80"/>
      <c r="D76" s="80"/>
      <c r="E76" s="80"/>
      <c r="F76" s="80"/>
      <c r="G76" s="80"/>
      <c r="H76" s="80"/>
      <c r="I76" s="80"/>
      <c r="J76" s="80"/>
      <c r="K76" s="80"/>
      <c r="L76" s="80"/>
      <c r="M76" s="80"/>
      <c r="N76" s="80"/>
      <c r="O76" s="80"/>
      <c r="P76" s="80"/>
      <c r="Q76" s="80"/>
      <c r="R76" s="80"/>
      <c r="S76" s="80"/>
      <c r="T76" s="80"/>
      <c r="U76" s="80"/>
      <c r="V76" s="80"/>
      <c r="W76" s="80"/>
      <c r="X76" s="80"/>
      <c r="Y76" s="80"/>
      <c r="Z76" s="80"/>
      <c r="AA76" s="80"/>
      <c r="AB76" s="80"/>
      <c r="AC76" s="80"/>
      <c r="AD76" s="80"/>
      <c r="AE76" s="80"/>
      <c r="AF76" s="80"/>
      <c r="AG76" s="80"/>
      <c r="AH76" s="80"/>
      <c r="AI76" s="80"/>
      <c r="AJ76" s="80"/>
    </row>
    <row r="77" spans="1:36">
      <c r="A77" s="80"/>
      <c r="B77" s="80"/>
      <c r="C77" s="80"/>
      <c r="D77" s="80"/>
      <c r="E77" s="80"/>
      <c r="F77" s="80"/>
      <c r="G77" s="80"/>
      <c r="H77" s="80"/>
      <c r="I77" s="80"/>
      <c r="J77" s="80"/>
      <c r="K77" s="80"/>
      <c r="L77" s="80"/>
      <c r="M77" s="80"/>
      <c r="N77" s="80"/>
      <c r="O77" s="80"/>
      <c r="P77" s="80"/>
      <c r="Q77" s="80"/>
      <c r="R77" s="80"/>
      <c r="S77" s="80"/>
      <c r="T77" s="80"/>
      <c r="U77" s="80"/>
      <c r="V77" s="80"/>
      <c r="W77" s="80"/>
      <c r="X77" s="80"/>
      <c r="Y77" s="80"/>
      <c r="Z77" s="80"/>
      <c r="AA77" s="80"/>
      <c r="AB77" s="80"/>
      <c r="AC77" s="80"/>
      <c r="AD77" s="80"/>
      <c r="AE77" s="80"/>
      <c r="AF77" s="80"/>
      <c r="AG77" s="80"/>
      <c r="AH77" s="80"/>
      <c r="AI77" s="80"/>
      <c r="AJ77" s="80"/>
    </row>
    <row r="78" spans="1:36">
      <c r="A78" s="80"/>
      <c r="B78" s="80"/>
      <c r="C78" s="80"/>
      <c r="D78" s="80"/>
      <c r="E78" s="80"/>
      <c r="F78" s="80"/>
      <c r="G78" s="80"/>
      <c r="H78" s="80"/>
      <c r="I78" s="80"/>
      <c r="J78" s="80"/>
      <c r="K78" s="80"/>
      <c r="L78" s="80"/>
      <c r="M78" s="80"/>
      <c r="N78" s="80"/>
      <c r="O78" s="80"/>
      <c r="P78" s="80"/>
      <c r="Q78" s="80"/>
      <c r="R78" s="80"/>
      <c r="S78" s="80"/>
      <c r="T78" s="80"/>
      <c r="U78" s="80"/>
      <c r="V78" s="80"/>
      <c r="W78" s="80"/>
      <c r="X78" s="80"/>
      <c r="Y78" s="80"/>
      <c r="Z78" s="80"/>
      <c r="AA78" s="80"/>
      <c r="AB78" s="80"/>
      <c r="AC78" s="80"/>
      <c r="AD78" s="80"/>
      <c r="AE78" s="80"/>
      <c r="AF78" s="80"/>
      <c r="AG78" s="80"/>
      <c r="AH78" s="80"/>
      <c r="AI78" s="80"/>
      <c r="AJ78" s="80"/>
    </row>
    <row r="79" spans="1:36">
      <c r="A79" s="80"/>
      <c r="B79" s="80"/>
      <c r="C79" s="80"/>
      <c r="D79" s="80"/>
      <c r="E79" s="80"/>
      <c r="F79" s="80"/>
      <c r="G79" s="80"/>
      <c r="H79" s="80"/>
      <c r="I79" s="80"/>
      <c r="J79" s="80"/>
      <c r="K79" s="80"/>
      <c r="L79" s="80"/>
      <c r="M79" s="80"/>
      <c r="N79" s="80"/>
      <c r="O79" s="80"/>
      <c r="P79" s="80"/>
      <c r="Q79" s="80"/>
      <c r="R79" s="80"/>
      <c r="S79" s="80"/>
      <c r="T79" s="80"/>
      <c r="U79" s="80"/>
      <c r="V79" s="80"/>
      <c r="W79" s="80"/>
      <c r="X79" s="80"/>
      <c r="Y79" s="80"/>
      <c r="Z79" s="80"/>
      <c r="AA79" s="80"/>
      <c r="AB79" s="80"/>
      <c r="AC79" s="80"/>
      <c r="AD79" s="80"/>
      <c r="AE79" s="80"/>
      <c r="AF79" s="80"/>
      <c r="AG79" s="80"/>
      <c r="AH79" s="80"/>
      <c r="AI79" s="80"/>
      <c r="AJ79" s="80"/>
    </row>
    <row r="80" spans="1:36">
      <c r="A80" s="80"/>
      <c r="B80" s="80"/>
      <c r="C80" s="80"/>
      <c r="D80" s="80"/>
      <c r="E80" s="80"/>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row>
    <row r="81" spans="1:36">
      <c r="A81" s="80"/>
      <c r="B81" s="80"/>
      <c r="C81" s="80"/>
      <c r="D81" s="80"/>
      <c r="E81" s="80"/>
      <c r="F81" s="80"/>
      <c r="G81" s="80"/>
      <c r="H81" s="80"/>
      <c r="I81" s="80"/>
      <c r="J81" s="80"/>
      <c r="K81" s="80"/>
      <c r="L81" s="80"/>
      <c r="M81" s="80"/>
      <c r="N81" s="80"/>
      <c r="O81" s="80"/>
      <c r="P81" s="80"/>
      <c r="Q81" s="80"/>
      <c r="R81" s="80"/>
      <c r="S81" s="80"/>
      <c r="T81" s="80"/>
      <c r="U81" s="80"/>
      <c r="V81" s="80"/>
      <c r="W81" s="80"/>
      <c r="X81" s="80"/>
      <c r="Y81" s="80"/>
      <c r="Z81" s="80"/>
      <c r="AA81" s="80"/>
      <c r="AB81" s="80"/>
      <c r="AC81" s="80"/>
      <c r="AD81" s="80"/>
      <c r="AE81" s="80"/>
      <c r="AF81" s="80"/>
      <c r="AG81" s="80"/>
      <c r="AH81" s="80"/>
      <c r="AI81" s="80"/>
      <c r="AJ81" s="80"/>
    </row>
    <row r="82" spans="1:36">
      <c r="A82" s="80"/>
      <c r="B82" s="80"/>
      <c r="C82" s="80"/>
      <c r="D82" s="80"/>
      <c r="E82" s="80"/>
      <c r="F82" s="80"/>
      <c r="G82" s="80"/>
      <c r="H82" s="80"/>
      <c r="I82" s="80"/>
      <c r="J82" s="80"/>
      <c r="K82" s="80"/>
      <c r="L82" s="80"/>
      <c r="M82" s="80"/>
      <c r="N82" s="80"/>
      <c r="O82" s="80"/>
      <c r="P82" s="80"/>
      <c r="Q82" s="80"/>
      <c r="R82" s="80"/>
      <c r="S82" s="80"/>
      <c r="T82" s="80"/>
      <c r="U82" s="80"/>
      <c r="V82" s="80"/>
      <c r="W82" s="80"/>
      <c r="X82" s="80"/>
      <c r="Y82" s="80"/>
      <c r="Z82" s="80"/>
      <c r="AA82" s="80"/>
      <c r="AB82" s="80"/>
      <c r="AC82" s="80"/>
      <c r="AD82" s="80"/>
      <c r="AE82" s="80"/>
      <c r="AF82" s="80"/>
      <c r="AG82" s="80"/>
      <c r="AH82" s="80"/>
      <c r="AI82" s="80"/>
      <c r="AJ82" s="80"/>
    </row>
    <row r="83" spans="1:36">
      <c r="A83" s="80"/>
      <c r="B83" s="80"/>
      <c r="C83" s="80"/>
      <c r="D83" s="80"/>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row>
    <row r="84" spans="1:36">
      <c r="A84" s="80"/>
      <c r="B84" s="80"/>
      <c r="C84" s="80"/>
      <c r="D84" s="80"/>
      <c r="E84" s="80"/>
      <c r="F84" s="80"/>
      <c r="G84" s="80"/>
      <c r="H84" s="80"/>
      <c r="I84" s="80"/>
      <c r="J84" s="80"/>
      <c r="K84" s="80"/>
      <c r="L84" s="80"/>
      <c r="M84" s="80"/>
      <c r="N84" s="80"/>
      <c r="O84" s="80"/>
      <c r="P84" s="80"/>
      <c r="Q84" s="80"/>
      <c r="R84" s="80"/>
      <c r="S84" s="80"/>
      <c r="T84" s="80"/>
      <c r="U84" s="80"/>
      <c r="V84" s="80"/>
      <c r="W84" s="80"/>
      <c r="X84" s="80"/>
      <c r="Y84" s="80"/>
      <c r="Z84" s="80"/>
      <c r="AA84" s="80"/>
      <c r="AB84" s="80"/>
      <c r="AC84" s="80"/>
      <c r="AD84" s="80"/>
      <c r="AE84" s="80"/>
      <c r="AF84" s="80"/>
      <c r="AG84" s="80"/>
      <c r="AH84" s="80"/>
      <c r="AI84" s="80"/>
      <c r="AJ84" s="80"/>
    </row>
    <row r="85" spans="1:36">
      <c r="A85" s="80"/>
      <c r="B85" s="80"/>
      <c r="C85" s="80"/>
      <c r="D85" s="80"/>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row>
    <row r="86" spans="1:36">
      <c r="A86" s="80"/>
      <c r="B86" s="80"/>
      <c r="C86" s="80"/>
      <c r="D86" s="80"/>
      <c r="E86" s="80"/>
      <c r="F86" s="80"/>
      <c r="G86" s="80"/>
      <c r="H86" s="80"/>
      <c r="I86" s="80"/>
      <c r="J86" s="80"/>
      <c r="K86" s="80"/>
      <c r="L86" s="80"/>
      <c r="M86" s="80"/>
      <c r="N86" s="80"/>
      <c r="O86" s="80"/>
      <c r="P86" s="80"/>
      <c r="Q86" s="80"/>
      <c r="R86" s="80"/>
      <c r="S86" s="80"/>
      <c r="T86" s="80"/>
      <c r="U86" s="80"/>
      <c r="V86" s="80"/>
      <c r="W86" s="80"/>
      <c r="X86" s="80"/>
      <c r="Y86" s="80"/>
      <c r="Z86" s="80"/>
      <c r="AA86" s="80"/>
      <c r="AB86" s="80"/>
      <c r="AC86" s="80"/>
      <c r="AD86" s="80"/>
      <c r="AE86" s="80"/>
      <c r="AF86" s="80"/>
      <c r="AG86" s="80"/>
      <c r="AH86" s="80"/>
      <c r="AI86" s="80"/>
      <c r="AJ86" s="80"/>
    </row>
    <row r="87" spans="1:36">
      <c r="A87" s="80"/>
      <c r="B87" s="80"/>
      <c r="C87" s="80"/>
      <c r="D87" s="80"/>
      <c r="E87" s="80"/>
      <c r="F87" s="80"/>
      <c r="G87" s="80"/>
      <c r="H87" s="80"/>
      <c r="I87" s="80"/>
      <c r="J87" s="80"/>
      <c r="K87" s="80"/>
      <c r="L87" s="80"/>
      <c r="M87" s="80"/>
      <c r="N87" s="80"/>
      <c r="O87" s="80"/>
      <c r="P87" s="80"/>
      <c r="Q87" s="80"/>
      <c r="R87" s="80"/>
      <c r="S87" s="80"/>
      <c r="T87" s="80"/>
      <c r="U87" s="80"/>
      <c r="V87" s="80"/>
      <c r="W87" s="80"/>
      <c r="X87" s="80"/>
      <c r="Y87" s="80"/>
      <c r="Z87" s="80"/>
      <c r="AA87" s="80"/>
      <c r="AB87" s="80"/>
      <c r="AC87" s="80"/>
      <c r="AD87" s="80"/>
      <c r="AE87" s="80"/>
      <c r="AF87" s="80"/>
      <c r="AG87" s="80"/>
      <c r="AH87" s="80"/>
      <c r="AI87" s="80"/>
      <c r="AJ87" s="80"/>
    </row>
    <row r="88" spans="1:36">
      <c r="A88" s="80"/>
      <c r="B88" s="80"/>
      <c r="C88" s="80"/>
      <c r="D88" s="80"/>
      <c r="E88" s="80"/>
      <c r="F88" s="80"/>
      <c r="G88" s="80"/>
      <c r="H88" s="80"/>
      <c r="I88" s="80"/>
      <c r="J88" s="80"/>
      <c r="K88" s="80"/>
      <c r="L88" s="80"/>
      <c r="M88" s="80"/>
      <c r="N88" s="80"/>
      <c r="O88" s="80"/>
      <c r="P88" s="80"/>
      <c r="Q88" s="80"/>
      <c r="R88" s="80"/>
      <c r="S88" s="80"/>
      <c r="T88" s="80"/>
      <c r="U88" s="80"/>
      <c r="V88" s="80"/>
      <c r="W88" s="80"/>
      <c r="X88" s="80"/>
      <c r="Y88" s="80"/>
      <c r="Z88" s="80"/>
      <c r="AA88" s="80"/>
      <c r="AB88" s="80"/>
      <c r="AC88" s="80"/>
      <c r="AD88" s="80"/>
      <c r="AE88" s="80"/>
      <c r="AF88" s="80"/>
      <c r="AG88" s="80"/>
      <c r="AH88" s="80"/>
      <c r="AI88" s="80"/>
      <c r="AJ88" s="80"/>
    </row>
    <row r="89" spans="1:36">
      <c r="A89" s="80"/>
      <c r="B89" s="80"/>
      <c r="C89" s="80"/>
      <c r="D89" s="80"/>
      <c r="E89" s="80"/>
      <c r="F89" s="80"/>
      <c r="G89" s="80"/>
      <c r="H89" s="80"/>
      <c r="I89" s="80"/>
      <c r="J89" s="80"/>
      <c r="K89" s="80"/>
      <c r="L89" s="80"/>
      <c r="M89" s="80"/>
      <c r="N89" s="80"/>
      <c r="O89" s="80"/>
      <c r="P89" s="80"/>
      <c r="Q89" s="80"/>
      <c r="R89" s="80"/>
      <c r="S89" s="80"/>
      <c r="T89" s="80"/>
      <c r="U89" s="80"/>
      <c r="V89" s="80"/>
      <c r="W89" s="80"/>
      <c r="X89" s="80"/>
      <c r="Y89" s="80"/>
      <c r="Z89" s="80"/>
      <c r="AA89" s="80"/>
      <c r="AB89" s="80"/>
      <c r="AC89" s="80"/>
      <c r="AD89" s="80"/>
      <c r="AE89" s="80"/>
      <c r="AF89" s="80"/>
      <c r="AG89" s="80"/>
      <c r="AH89" s="80"/>
      <c r="AI89" s="80"/>
      <c r="AJ89" s="80"/>
    </row>
    <row r="90" spans="1:36">
      <c r="A90" s="80"/>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0"/>
    </row>
    <row r="91" spans="1:36">
      <c r="A91" s="80"/>
      <c r="B91" s="80"/>
      <c r="C91" s="80"/>
      <c r="D91" s="80"/>
      <c r="E91" s="80"/>
      <c r="F91" s="80"/>
      <c r="G91" s="80"/>
      <c r="H91" s="80"/>
      <c r="I91" s="80"/>
      <c r="J91" s="80"/>
      <c r="K91" s="80"/>
      <c r="L91" s="80"/>
      <c r="M91" s="80"/>
      <c r="N91" s="80"/>
      <c r="O91" s="80"/>
      <c r="P91" s="80"/>
      <c r="Q91" s="80"/>
      <c r="R91" s="80"/>
      <c r="S91" s="80"/>
      <c r="T91" s="80"/>
      <c r="U91" s="80"/>
      <c r="V91" s="80"/>
      <c r="W91" s="80"/>
      <c r="X91" s="80"/>
      <c r="Y91" s="80"/>
      <c r="Z91" s="80"/>
      <c r="AA91" s="80"/>
      <c r="AB91" s="80"/>
      <c r="AC91" s="80"/>
      <c r="AD91" s="80"/>
      <c r="AE91" s="80"/>
      <c r="AF91" s="80"/>
      <c r="AG91" s="80"/>
      <c r="AH91" s="80"/>
      <c r="AI91" s="80"/>
      <c r="AJ91" s="80"/>
    </row>
    <row r="92" spans="1:36">
      <c r="A92" s="80"/>
      <c r="B92" s="80"/>
      <c r="C92" s="80"/>
      <c r="D92" s="80"/>
      <c r="E92" s="80"/>
      <c r="F92" s="80"/>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80"/>
      <c r="AI92" s="80"/>
      <c r="AJ92" s="80"/>
    </row>
    <row r="93" spans="1:36">
      <c r="A93" s="80"/>
      <c r="B93" s="80"/>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row>
    <row r="94" spans="1:36">
      <c r="A94" s="80"/>
      <c r="B94" s="80"/>
      <c r="C94" s="80"/>
      <c r="D94" s="80"/>
      <c r="E94" s="80"/>
      <c r="F94" s="80"/>
      <c r="G94" s="80"/>
      <c r="H94" s="80"/>
      <c r="I94" s="80"/>
      <c r="J94" s="80"/>
      <c r="K94" s="80"/>
      <c r="L94" s="80"/>
      <c r="M94" s="80"/>
      <c r="N94" s="80"/>
      <c r="O94" s="80"/>
      <c r="P94" s="80"/>
      <c r="Q94" s="80"/>
      <c r="R94" s="80"/>
      <c r="S94" s="80"/>
      <c r="T94" s="80"/>
      <c r="U94" s="80"/>
      <c r="V94" s="80"/>
      <c r="W94" s="80"/>
      <c r="X94" s="80"/>
      <c r="Y94" s="80"/>
      <c r="Z94" s="80"/>
      <c r="AA94" s="80"/>
      <c r="AB94" s="80"/>
      <c r="AC94" s="80"/>
      <c r="AD94" s="80"/>
      <c r="AE94" s="80"/>
      <c r="AF94" s="80"/>
      <c r="AG94" s="80"/>
      <c r="AH94" s="80"/>
      <c r="AI94" s="80"/>
      <c r="AJ94" s="80"/>
    </row>
    <row r="95" spans="1:36">
      <c r="A95" s="80"/>
      <c r="B95" s="80"/>
      <c r="C95" s="80"/>
      <c r="D95" s="80"/>
      <c r="E95" s="80"/>
      <c r="F95" s="80"/>
      <c r="G95" s="80"/>
      <c r="H95" s="80"/>
      <c r="I95" s="80"/>
      <c r="J95" s="80"/>
      <c r="K95" s="80"/>
      <c r="L95" s="80"/>
      <c r="M95" s="80"/>
      <c r="N95" s="80"/>
      <c r="O95" s="80"/>
      <c r="P95" s="80"/>
      <c r="Q95" s="80"/>
      <c r="R95" s="80"/>
      <c r="S95" s="80"/>
      <c r="T95" s="80"/>
      <c r="U95" s="80"/>
      <c r="V95" s="80"/>
      <c r="W95" s="80"/>
      <c r="X95" s="80"/>
      <c r="Y95" s="80"/>
      <c r="Z95" s="80"/>
      <c r="AA95" s="80"/>
      <c r="AB95" s="80"/>
      <c r="AC95" s="80"/>
      <c r="AD95" s="80"/>
      <c r="AE95" s="80"/>
      <c r="AF95" s="80"/>
      <c r="AG95" s="80"/>
      <c r="AH95" s="80"/>
      <c r="AI95" s="80"/>
      <c r="AJ95" s="80"/>
    </row>
    <row r="96" spans="1:36">
      <c r="A96" s="80"/>
      <c r="B96" s="80"/>
      <c r="C96" s="80"/>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80"/>
      <c r="AE96" s="80"/>
      <c r="AF96" s="80"/>
      <c r="AG96" s="80"/>
      <c r="AH96" s="80"/>
      <c r="AI96" s="80"/>
      <c r="AJ96" s="80"/>
    </row>
    <row r="97" spans="1:36">
      <c r="A97" s="80"/>
      <c r="B97" s="80"/>
      <c r="C97" s="80"/>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80"/>
      <c r="AD97" s="80"/>
      <c r="AE97" s="80"/>
      <c r="AF97" s="80"/>
      <c r="AG97" s="80"/>
      <c r="AH97" s="80"/>
      <c r="AI97" s="80"/>
      <c r="AJ97" s="80"/>
    </row>
    <row r="98" spans="1:36">
      <c r="A98" s="80"/>
      <c r="B98" s="80"/>
      <c r="C98" s="80"/>
      <c r="D98" s="80"/>
      <c r="E98" s="80"/>
      <c r="F98" s="80"/>
      <c r="G98" s="80"/>
      <c r="H98" s="80"/>
      <c r="I98" s="80"/>
      <c r="J98" s="80"/>
      <c r="K98" s="80"/>
      <c r="L98" s="80"/>
      <c r="M98" s="80"/>
      <c r="N98" s="80"/>
      <c r="O98" s="80"/>
      <c r="P98" s="80"/>
      <c r="Q98" s="80"/>
      <c r="R98" s="80"/>
      <c r="S98" s="80"/>
      <c r="T98" s="80"/>
      <c r="U98" s="80"/>
      <c r="V98" s="80"/>
      <c r="W98" s="80"/>
      <c r="X98" s="80"/>
      <c r="Y98" s="80"/>
      <c r="Z98" s="80"/>
      <c r="AA98" s="80"/>
      <c r="AB98" s="80"/>
      <c r="AC98" s="80"/>
      <c r="AD98" s="80"/>
      <c r="AE98" s="80"/>
      <c r="AF98" s="80"/>
      <c r="AG98" s="80"/>
      <c r="AH98" s="80"/>
      <c r="AI98" s="80"/>
      <c r="AJ98" s="80"/>
    </row>
    <row r="99" spans="1:36">
      <c r="A99" s="80"/>
      <c r="B99" s="80"/>
      <c r="C99" s="80"/>
      <c r="D99" s="80"/>
      <c r="E99" s="80"/>
      <c r="F99" s="80"/>
      <c r="G99" s="80"/>
      <c r="H99" s="80"/>
      <c r="I99" s="80"/>
      <c r="J99" s="80"/>
      <c r="K99" s="80"/>
      <c r="L99" s="80"/>
      <c r="M99" s="80"/>
      <c r="N99" s="80"/>
      <c r="O99" s="80"/>
      <c r="P99" s="80"/>
      <c r="Q99" s="80"/>
      <c r="R99" s="80"/>
      <c r="S99" s="80"/>
      <c r="T99" s="80"/>
      <c r="U99" s="80"/>
      <c r="V99" s="80"/>
      <c r="W99" s="80"/>
      <c r="X99" s="80"/>
      <c r="Y99" s="80"/>
      <c r="Z99" s="80"/>
      <c r="AA99" s="80"/>
      <c r="AB99" s="80"/>
      <c r="AC99" s="80"/>
      <c r="AD99" s="80"/>
      <c r="AE99" s="80"/>
      <c r="AF99" s="80"/>
      <c r="AG99" s="80"/>
      <c r="AH99" s="80"/>
      <c r="AI99" s="80"/>
      <c r="AJ99" s="80"/>
    </row>
    <row r="100" spans="1:36">
      <c r="A100" s="80"/>
      <c r="B100" s="80"/>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row>
    <row r="101" spans="1:36">
      <c r="A101" s="80"/>
      <c r="B101" s="80"/>
      <c r="C101" s="80"/>
      <c r="D101" s="80"/>
      <c r="E101" s="80"/>
      <c r="F101" s="80"/>
      <c r="G101" s="80"/>
      <c r="H101" s="80"/>
      <c r="I101" s="80"/>
      <c r="J101" s="80"/>
      <c r="K101" s="80"/>
      <c r="L101" s="80"/>
      <c r="M101" s="80"/>
      <c r="N101" s="80"/>
      <c r="O101" s="80"/>
      <c r="P101" s="80"/>
      <c r="Q101" s="80"/>
      <c r="R101" s="80"/>
      <c r="S101" s="80"/>
      <c r="T101" s="80"/>
      <c r="U101" s="80"/>
      <c r="V101" s="80"/>
      <c r="W101" s="80"/>
      <c r="X101" s="80"/>
      <c r="Y101" s="80"/>
      <c r="Z101" s="80"/>
      <c r="AA101" s="80"/>
      <c r="AB101" s="80"/>
      <c r="AC101" s="80"/>
      <c r="AD101" s="80"/>
      <c r="AE101" s="80"/>
      <c r="AF101" s="80"/>
      <c r="AG101" s="80"/>
      <c r="AH101" s="80"/>
      <c r="AI101" s="80"/>
      <c r="AJ101" s="80"/>
    </row>
    <row r="102" spans="1:36">
      <c r="A102" s="80"/>
      <c r="B102" s="80"/>
      <c r="C102" s="80"/>
      <c r="D102" s="80"/>
      <c r="E102" s="80"/>
      <c r="F102" s="80"/>
      <c r="G102" s="80"/>
      <c r="H102" s="80"/>
      <c r="I102" s="80"/>
      <c r="J102" s="80"/>
      <c r="K102" s="80"/>
      <c r="L102" s="80"/>
      <c r="M102" s="80"/>
      <c r="N102" s="80"/>
      <c r="O102" s="80"/>
      <c r="P102" s="80"/>
      <c r="Q102" s="80"/>
      <c r="R102" s="80"/>
      <c r="S102" s="80"/>
      <c r="T102" s="80"/>
      <c r="U102" s="80"/>
      <c r="V102" s="80"/>
      <c r="W102" s="80"/>
      <c r="X102" s="80"/>
      <c r="Y102" s="80"/>
      <c r="Z102" s="80"/>
      <c r="AA102" s="80"/>
      <c r="AB102" s="80"/>
      <c r="AC102" s="80"/>
      <c r="AD102" s="80"/>
      <c r="AE102" s="80"/>
      <c r="AF102" s="80"/>
      <c r="AG102" s="80"/>
      <c r="AH102" s="80"/>
      <c r="AI102" s="80"/>
      <c r="AJ102" s="80"/>
    </row>
    <row r="103" spans="1:36">
      <c r="A103" s="80"/>
      <c r="B103" s="80"/>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Z103" s="80"/>
      <c r="AA103" s="80"/>
      <c r="AB103" s="80"/>
      <c r="AC103" s="80"/>
      <c r="AD103" s="80"/>
      <c r="AE103" s="80"/>
      <c r="AF103" s="80"/>
      <c r="AG103" s="80"/>
      <c r="AH103" s="80"/>
      <c r="AI103" s="80"/>
      <c r="AJ103" s="80"/>
    </row>
    <row r="104" spans="1:36">
      <c r="A104" s="80"/>
      <c r="B104" s="80"/>
      <c r="C104" s="80"/>
      <c r="D104" s="80"/>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row>
    <row r="105" spans="1:36">
      <c r="A105" s="80"/>
      <c r="B105" s="80"/>
      <c r="C105" s="80"/>
      <c r="D105" s="80"/>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0"/>
      <c r="AD105" s="80"/>
      <c r="AE105" s="80"/>
      <c r="AF105" s="80"/>
      <c r="AG105" s="80"/>
      <c r="AH105" s="80"/>
      <c r="AI105" s="80"/>
      <c r="AJ105" s="80"/>
    </row>
    <row r="106" spans="1:36">
      <c r="A106" s="80"/>
      <c r="B106" s="80"/>
      <c r="C106" s="80"/>
      <c r="D106" s="80"/>
      <c r="E106" s="80"/>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row>
    <row r="107" spans="1:36">
      <c r="A107" s="80"/>
      <c r="B107" s="80"/>
      <c r="C107" s="80"/>
      <c r="D107" s="80"/>
      <c r="E107" s="80"/>
      <c r="F107" s="80"/>
      <c r="G107" s="80"/>
      <c r="H107" s="80"/>
      <c r="I107" s="80"/>
      <c r="J107" s="80"/>
      <c r="K107" s="80"/>
      <c r="L107" s="80"/>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row>
    <row r="108" spans="1:36">
      <c r="A108" s="80"/>
      <c r="B108" s="80"/>
      <c r="C108" s="80"/>
      <c r="D108" s="80"/>
      <c r="E108" s="80"/>
      <c r="F108" s="80"/>
      <c r="G108" s="80"/>
      <c r="H108" s="80"/>
      <c r="I108" s="80"/>
      <c r="J108" s="80"/>
      <c r="K108" s="80"/>
      <c r="L108" s="80"/>
      <c r="M108" s="80"/>
      <c r="N108" s="80"/>
      <c r="O108" s="80"/>
      <c r="P108" s="80"/>
      <c r="Q108" s="80"/>
      <c r="R108" s="80"/>
      <c r="S108" s="80"/>
      <c r="T108" s="80"/>
      <c r="U108" s="80"/>
      <c r="V108" s="80"/>
      <c r="W108" s="80"/>
      <c r="X108" s="80"/>
      <c r="Y108" s="80"/>
      <c r="Z108" s="80"/>
      <c r="AA108" s="80"/>
      <c r="AB108" s="80"/>
      <c r="AC108" s="80"/>
      <c r="AD108" s="80"/>
      <c r="AE108" s="80"/>
      <c r="AF108" s="80"/>
      <c r="AG108" s="80"/>
      <c r="AH108" s="80"/>
      <c r="AI108" s="80"/>
      <c r="AJ108" s="80"/>
    </row>
    <row r="109" spans="1:36">
      <c r="A109" s="80"/>
      <c r="B109" s="80"/>
      <c r="C109" s="80"/>
      <c r="D109" s="80"/>
      <c r="E109" s="80"/>
      <c r="F109" s="80"/>
      <c r="G109" s="80"/>
      <c r="H109" s="80"/>
      <c r="I109" s="80"/>
      <c r="J109" s="80"/>
      <c r="K109" s="80"/>
      <c r="L109" s="80"/>
      <c r="M109" s="80"/>
      <c r="N109" s="80"/>
      <c r="O109" s="80"/>
      <c r="P109" s="80"/>
      <c r="Q109" s="80"/>
      <c r="R109" s="80"/>
      <c r="S109" s="80"/>
      <c r="T109" s="80"/>
      <c r="U109" s="80"/>
      <c r="V109" s="80"/>
      <c r="W109" s="80"/>
      <c r="X109" s="80"/>
      <c r="Y109" s="80"/>
      <c r="Z109" s="80"/>
      <c r="AA109" s="80"/>
      <c r="AB109" s="80"/>
      <c r="AC109" s="80"/>
      <c r="AD109" s="80"/>
      <c r="AE109" s="80"/>
      <c r="AF109" s="80"/>
      <c r="AG109" s="80"/>
      <c r="AH109" s="80"/>
      <c r="AI109" s="80"/>
      <c r="AJ109" s="80"/>
    </row>
    <row r="110" spans="1:36">
      <c r="A110" s="80"/>
      <c r="B110" s="80"/>
      <c r="C110" s="80"/>
      <c r="D110" s="80"/>
      <c r="E110" s="80"/>
      <c r="F110" s="80"/>
      <c r="G110" s="80"/>
      <c r="H110" s="80"/>
      <c r="I110" s="80"/>
      <c r="J110" s="80"/>
      <c r="K110" s="80"/>
      <c r="L110" s="80"/>
      <c r="M110" s="80"/>
      <c r="N110" s="80"/>
      <c r="O110" s="80"/>
      <c r="P110" s="80"/>
      <c r="Q110" s="80"/>
      <c r="R110" s="80"/>
      <c r="S110" s="80"/>
      <c r="T110" s="80"/>
      <c r="U110" s="80"/>
      <c r="V110" s="80"/>
      <c r="W110" s="80"/>
      <c r="X110" s="80"/>
      <c r="Y110" s="80"/>
      <c r="Z110" s="80"/>
      <c r="AA110" s="80"/>
      <c r="AB110" s="80"/>
      <c r="AC110" s="80"/>
      <c r="AD110" s="80"/>
      <c r="AE110" s="80"/>
      <c r="AF110" s="80"/>
      <c r="AG110" s="80"/>
      <c r="AH110" s="80"/>
      <c r="AI110" s="80"/>
      <c r="AJ110" s="80"/>
    </row>
    <row r="111" spans="1:36">
      <c r="A111" s="80"/>
      <c r="B111" s="80"/>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80"/>
      <c r="AE111" s="80"/>
      <c r="AF111" s="80"/>
      <c r="AG111" s="80"/>
      <c r="AH111" s="80"/>
      <c r="AI111" s="80"/>
      <c r="AJ111" s="80"/>
    </row>
    <row r="112" spans="1:36">
      <c r="A112" s="80"/>
      <c r="B112" s="80"/>
      <c r="C112" s="80"/>
      <c r="D112" s="80"/>
      <c r="E112" s="80"/>
      <c r="F112" s="80"/>
      <c r="G112" s="80"/>
      <c r="H112" s="80"/>
      <c r="I112" s="80"/>
      <c r="J112" s="80"/>
      <c r="K112" s="80"/>
      <c r="L112" s="80"/>
      <c r="M112" s="80"/>
      <c r="N112" s="80"/>
      <c r="O112" s="80"/>
      <c r="P112" s="80"/>
      <c r="Q112" s="80"/>
      <c r="R112" s="80"/>
      <c r="S112" s="80"/>
      <c r="T112" s="80"/>
      <c r="U112" s="80"/>
      <c r="V112" s="80"/>
      <c r="W112" s="80"/>
      <c r="X112" s="80"/>
      <c r="Y112" s="80"/>
      <c r="Z112" s="80"/>
      <c r="AA112" s="80"/>
      <c r="AB112" s="80"/>
      <c r="AC112" s="80"/>
      <c r="AD112" s="80"/>
      <c r="AE112" s="80"/>
      <c r="AF112" s="80"/>
      <c r="AG112" s="80"/>
      <c r="AH112" s="80"/>
      <c r="AI112" s="80"/>
      <c r="AJ112" s="80"/>
    </row>
    <row r="113" spans="1:36">
      <c r="A113" s="80"/>
      <c r="B113" s="80"/>
      <c r="C113" s="80"/>
      <c r="D113" s="80"/>
      <c r="E113" s="80"/>
      <c r="F113" s="80"/>
      <c r="G113" s="80"/>
      <c r="H113" s="80"/>
      <c r="I113" s="80"/>
      <c r="J113" s="80"/>
      <c r="K113" s="80"/>
      <c r="L113" s="80"/>
      <c r="M113" s="80"/>
      <c r="N113" s="80"/>
      <c r="O113" s="80"/>
      <c r="P113" s="80"/>
      <c r="Q113" s="80"/>
      <c r="R113" s="80"/>
      <c r="S113" s="80"/>
      <c r="T113" s="80"/>
      <c r="U113" s="80"/>
      <c r="V113" s="80"/>
      <c r="W113" s="80"/>
      <c r="X113" s="80"/>
      <c r="Y113" s="80"/>
      <c r="Z113" s="80"/>
      <c r="AA113" s="80"/>
      <c r="AB113" s="80"/>
      <c r="AC113" s="80"/>
      <c r="AD113" s="80"/>
      <c r="AE113" s="80"/>
      <c r="AF113" s="80"/>
      <c r="AG113" s="80"/>
      <c r="AH113" s="80"/>
      <c r="AI113" s="80"/>
      <c r="AJ113" s="80"/>
    </row>
    <row r="114" spans="1:36">
      <c r="A114" s="80"/>
      <c r="B114" s="80"/>
      <c r="C114" s="80"/>
      <c r="D114" s="80"/>
      <c r="E114" s="80"/>
      <c r="F114" s="80"/>
      <c r="G114" s="80"/>
      <c r="H114" s="80"/>
      <c r="I114" s="80"/>
      <c r="J114" s="80"/>
      <c r="K114" s="80"/>
      <c r="L114" s="80"/>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row>
    <row r="115" spans="1:36">
      <c r="A115" s="80"/>
      <c r="B115" s="80"/>
      <c r="C115" s="80"/>
      <c r="D115" s="80"/>
      <c r="E115" s="80"/>
      <c r="F115" s="80"/>
      <c r="G115" s="80"/>
      <c r="H115" s="80"/>
      <c r="I115" s="80"/>
      <c r="J115" s="80"/>
      <c r="K115" s="80"/>
      <c r="L115" s="80"/>
      <c r="M115" s="80"/>
      <c r="N115" s="80"/>
      <c r="O115" s="80"/>
      <c r="P115" s="80"/>
      <c r="Q115" s="80"/>
      <c r="R115" s="80"/>
      <c r="S115" s="80"/>
      <c r="T115" s="80"/>
      <c r="U115" s="80"/>
      <c r="V115" s="80"/>
      <c r="W115" s="80"/>
      <c r="X115" s="80"/>
      <c r="Y115" s="80"/>
      <c r="Z115" s="80"/>
      <c r="AA115" s="80"/>
      <c r="AB115" s="80"/>
      <c r="AC115" s="80"/>
      <c r="AD115" s="80"/>
      <c r="AE115" s="80"/>
      <c r="AF115" s="80"/>
      <c r="AG115" s="80"/>
      <c r="AH115" s="80"/>
      <c r="AI115" s="80"/>
      <c r="AJ115" s="80"/>
    </row>
    <row r="116" spans="1:36">
      <c r="A116" s="80"/>
      <c r="B116" s="80"/>
      <c r="C116" s="80"/>
      <c r="D116" s="80"/>
      <c r="E116" s="80"/>
      <c r="F116" s="80"/>
      <c r="G116" s="80"/>
      <c r="H116" s="80"/>
      <c r="I116" s="80"/>
      <c r="J116" s="80"/>
      <c r="K116" s="80"/>
      <c r="L116" s="80"/>
      <c r="M116" s="80"/>
      <c r="N116" s="80"/>
      <c r="O116" s="80"/>
      <c r="P116" s="80"/>
      <c r="Q116" s="80"/>
      <c r="R116" s="80"/>
      <c r="S116" s="80"/>
      <c r="T116" s="80"/>
      <c r="U116" s="80"/>
      <c r="V116" s="80"/>
      <c r="W116" s="80"/>
      <c r="X116" s="80"/>
      <c r="Y116" s="80"/>
      <c r="Z116" s="80"/>
      <c r="AA116" s="80"/>
      <c r="AB116" s="80"/>
      <c r="AC116" s="80"/>
      <c r="AD116" s="80"/>
      <c r="AE116" s="80"/>
      <c r="AF116" s="80"/>
      <c r="AG116" s="80"/>
      <c r="AH116" s="80"/>
      <c r="AI116" s="80"/>
      <c r="AJ116" s="80"/>
    </row>
    <row r="117" spans="1:36">
      <c r="A117" s="80"/>
      <c r="B117" s="80"/>
      <c r="C117" s="80"/>
      <c r="D117" s="80"/>
      <c r="E117" s="80"/>
      <c r="F117" s="80"/>
      <c r="G117" s="80"/>
      <c r="H117" s="80"/>
      <c r="I117" s="80"/>
      <c r="J117" s="80"/>
      <c r="K117" s="80"/>
      <c r="L117" s="80"/>
      <c r="M117" s="80"/>
      <c r="N117" s="80"/>
      <c r="O117" s="80"/>
      <c r="P117" s="80"/>
      <c r="Q117" s="80"/>
      <c r="R117" s="80"/>
      <c r="S117" s="80"/>
      <c r="T117" s="80"/>
      <c r="U117" s="80"/>
      <c r="V117" s="80"/>
      <c r="W117" s="80"/>
      <c r="X117" s="80"/>
      <c r="Y117" s="80"/>
      <c r="Z117" s="80"/>
      <c r="AA117" s="80"/>
      <c r="AB117" s="80"/>
      <c r="AC117" s="80"/>
      <c r="AD117" s="80"/>
      <c r="AE117" s="80"/>
      <c r="AF117" s="80"/>
      <c r="AG117" s="80"/>
      <c r="AH117" s="80"/>
      <c r="AI117" s="80"/>
      <c r="AJ117" s="80"/>
    </row>
    <row r="118" spans="1:36">
      <c r="A118" s="80"/>
      <c r="B118" s="80"/>
      <c r="C118" s="80"/>
      <c r="D118" s="80"/>
      <c r="E118" s="80"/>
      <c r="F118" s="80"/>
      <c r="G118" s="80"/>
      <c r="H118" s="80"/>
      <c r="I118" s="80"/>
      <c r="J118" s="80"/>
      <c r="K118" s="80"/>
      <c r="L118" s="80"/>
      <c r="M118" s="80"/>
      <c r="N118" s="80"/>
      <c r="O118" s="80"/>
      <c r="P118" s="80"/>
      <c r="Q118" s="80"/>
      <c r="R118" s="80"/>
      <c r="S118" s="80"/>
      <c r="T118" s="80"/>
      <c r="U118" s="80"/>
      <c r="V118" s="80"/>
      <c r="W118" s="80"/>
      <c r="X118" s="80"/>
      <c r="Y118" s="80"/>
      <c r="Z118" s="80"/>
      <c r="AA118" s="80"/>
      <c r="AB118" s="80"/>
      <c r="AC118" s="80"/>
      <c r="AD118" s="80"/>
      <c r="AE118" s="80"/>
      <c r="AF118" s="80"/>
      <c r="AG118" s="80"/>
      <c r="AH118" s="80"/>
      <c r="AI118" s="80"/>
      <c r="AJ118" s="80"/>
    </row>
    <row r="119" spans="1:36">
      <c r="A119" s="80"/>
      <c r="B119" s="80"/>
      <c r="C119" s="80"/>
      <c r="D119" s="80"/>
      <c r="E119" s="80"/>
      <c r="F119" s="80"/>
      <c r="G119" s="80"/>
      <c r="H119" s="80"/>
      <c r="I119" s="80"/>
      <c r="J119" s="80"/>
      <c r="K119" s="80"/>
      <c r="L119" s="80"/>
      <c r="M119" s="80"/>
      <c r="N119" s="80"/>
      <c r="O119" s="80"/>
      <c r="P119" s="80"/>
      <c r="Q119" s="80"/>
      <c r="R119" s="80"/>
      <c r="S119" s="80"/>
      <c r="T119" s="80"/>
      <c r="U119" s="80"/>
      <c r="V119" s="80"/>
      <c r="W119" s="80"/>
      <c r="X119" s="80"/>
      <c r="Y119" s="80"/>
      <c r="Z119" s="80"/>
      <c r="AA119" s="80"/>
      <c r="AB119" s="80"/>
      <c r="AC119" s="80"/>
      <c r="AD119" s="80"/>
      <c r="AE119" s="80"/>
      <c r="AF119" s="80"/>
      <c r="AG119" s="80"/>
      <c r="AH119" s="80"/>
      <c r="AI119" s="80"/>
      <c r="AJ119" s="80"/>
    </row>
    <row r="120" spans="1:36">
      <c r="A120" s="80"/>
      <c r="B120" s="80"/>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80"/>
      <c r="AC120" s="80"/>
      <c r="AD120" s="80"/>
      <c r="AE120" s="80"/>
      <c r="AF120" s="80"/>
      <c r="AG120" s="80"/>
      <c r="AH120" s="80"/>
      <c r="AI120" s="80"/>
      <c r="AJ120" s="80"/>
    </row>
    <row r="121" spans="1:36">
      <c r="A121" s="80"/>
      <c r="B121" s="80"/>
      <c r="C121" s="80"/>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row>
    <row r="122" spans="1:36">
      <c r="A122" s="80"/>
      <c r="B122" s="80"/>
      <c r="C122" s="80"/>
      <c r="D122" s="80"/>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0"/>
      <c r="AC122" s="80"/>
      <c r="AD122" s="80"/>
      <c r="AE122" s="80"/>
      <c r="AF122" s="80"/>
      <c r="AG122" s="80"/>
      <c r="AH122" s="80"/>
      <c r="AI122" s="80"/>
      <c r="AJ122" s="80"/>
    </row>
    <row r="123" spans="1:36">
      <c r="A123" s="80"/>
      <c r="B123" s="80"/>
      <c r="C123" s="80"/>
      <c r="D123" s="80"/>
      <c r="E123" s="80"/>
      <c r="F123" s="80"/>
      <c r="G123" s="80"/>
      <c r="H123" s="80"/>
      <c r="I123" s="80"/>
      <c r="J123" s="80"/>
      <c r="K123" s="80"/>
      <c r="L123" s="80"/>
      <c r="M123" s="80"/>
      <c r="N123" s="80"/>
      <c r="O123" s="80"/>
      <c r="P123" s="80"/>
      <c r="Q123" s="80"/>
      <c r="R123" s="80"/>
      <c r="S123" s="80"/>
      <c r="T123" s="80"/>
      <c r="U123" s="80"/>
      <c r="V123" s="80"/>
      <c r="W123" s="80"/>
      <c r="X123" s="80"/>
      <c r="Y123" s="80"/>
      <c r="Z123" s="80"/>
      <c r="AA123" s="80"/>
      <c r="AB123" s="80"/>
      <c r="AC123" s="80"/>
      <c r="AD123" s="80"/>
      <c r="AE123" s="80"/>
      <c r="AF123" s="80"/>
      <c r="AG123" s="80"/>
      <c r="AH123" s="80"/>
      <c r="AI123" s="80"/>
      <c r="AJ123" s="80"/>
    </row>
    <row r="124" spans="1:36">
      <c r="A124" s="80"/>
      <c r="B124" s="80"/>
      <c r="C124" s="80"/>
      <c r="D124" s="80"/>
      <c r="E124" s="80"/>
      <c r="F124" s="80"/>
      <c r="G124" s="80"/>
      <c r="H124" s="80"/>
      <c r="I124" s="80"/>
      <c r="J124" s="80"/>
      <c r="K124" s="80"/>
      <c r="L124" s="80"/>
      <c r="M124" s="80"/>
      <c r="N124" s="80"/>
      <c r="O124" s="80"/>
      <c r="P124" s="80"/>
      <c r="Q124" s="80"/>
      <c r="R124" s="80"/>
      <c r="S124" s="80"/>
      <c r="T124" s="80"/>
      <c r="U124" s="80"/>
      <c r="V124" s="80"/>
      <c r="W124" s="80"/>
      <c r="X124" s="80"/>
      <c r="Y124" s="80"/>
      <c r="Z124" s="80"/>
      <c r="AA124" s="80"/>
      <c r="AB124" s="80"/>
      <c r="AC124" s="80"/>
      <c r="AD124" s="80"/>
      <c r="AE124" s="80"/>
      <c r="AF124" s="80"/>
      <c r="AG124" s="80"/>
      <c r="AH124" s="80"/>
      <c r="AI124" s="80"/>
      <c r="AJ124" s="80"/>
    </row>
    <row r="125" spans="1:36">
      <c r="A125" s="80"/>
      <c r="B125" s="80"/>
      <c r="C125" s="80"/>
      <c r="D125" s="80"/>
      <c r="E125" s="80"/>
      <c r="F125" s="80"/>
      <c r="G125" s="80"/>
      <c r="H125" s="80"/>
      <c r="I125" s="80"/>
      <c r="J125" s="80"/>
      <c r="K125" s="80"/>
      <c r="L125" s="80"/>
      <c r="M125" s="80"/>
      <c r="N125" s="80"/>
      <c r="O125" s="80"/>
      <c r="P125" s="80"/>
      <c r="Q125" s="80"/>
      <c r="R125" s="80"/>
      <c r="S125" s="80"/>
      <c r="T125" s="80"/>
      <c r="U125" s="80"/>
      <c r="V125" s="80"/>
      <c r="W125" s="80"/>
      <c r="X125" s="80"/>
      <c r="Y125" s="80"/>
      <c r="Z125" s="80"/>
      <c r="AA125" s="80"/>
      <c r="AB125" s="80"/>
      <c r="AC125" s="80"/>
      <c r="AD125" s="80"/>
      <c r="AE125" s="80"/>
      <c r="AF125" s="80"/>
      <c r="AG125" s="80"/>
      <c r="AH125" s="80"/>
      <c r="AI125" s="80"/>
      <c r="AJ125" s="80"/>
    </row>
    <row r="126" spans="1:36">
      <c r="A126" s="80"/>
      <c r="B126" s="80"/>
      <c r="C126" s="80"/>
      <c r="D126" s="80"/>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0"/>
      <c r="AD126" s="80"/>
      <c r="AE126" s="80"/>
      <c r="AF126" s="80"/>
      <c r="AG126" s="80"/>
      <c r="AH126" s="80"/>
      <c r="AI126" s="80"/>
      <c r="AJ126" s="80"/>
    </row>
    <row r="127" spans="1:36">
      <c r="A127" s="80"/>
      <c r="B127" s="80"/>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c r="AI127" s="80"/>
      <c r="AJ127" s="80"/>
    </row>
    <row r="128" spans="1:36">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c r="AI128" s="80"/>
      <c r="AJ128" s="80"/>
    </row>
    <row r="129" spans="1:36">
      <c r="A129" s="80"/>
      <c r="B129" s="80"/>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row>
    <row r="130" spans="1:36">
      <c r="A130" s="80"/>
      <c r="B130" s="80"/>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0"/>
      <c r="AD130" s="80"/>
      <c r="AE130" s="80"/>
      <c r="AF130" s="80"/>
      <c r="AG130" s="80"/>
      <c r="AH130" s="80"/>
      <c r="AI130" s="80"/>
      <c r="AJ130" s="80"/>
    </row>
    <row r="131" spans="1:36">
      <c r="A131" s="80"/>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row>
    <row r="132" spans="1:36">
      <c r="A132" s="80"/>
      <c r="B132" s="80"/>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0"/>
      <c r="AC132" s="80"/>
      <c r="AD132" s="80"/>
      <c r="AE132" s="80"/>
      <c r="AF132" s="80"/>
      <c r="AG132" s="80"/>
      <c r="AH132" s="80"/>
      <c r="AI132" s="80"/>
      <c r="AJ132" s="80"/>
    </row>
    <row r="133" spans="1:36">
      <c r="A133" s="80"/>
      <c r="B133" s="80"/>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0"/>
      <c r="AD133" s="80"/>
      <c r="AE133" s="80"/>
      <c r="AF133" s="80"/>
      <c r="AG133" s="80"/>
      <c r="AH133" s="80"/>
      <c r="AI133" s="80"/>
      <c r="AJ133" s="80"/>
    </row>
    <row r="134" spans="1:36">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row>
    <row r="135" spans="1:36">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0"/>
      <c r="AH135" s="80"/>
      <c r="AI135" s="80"/>
      <c r="AJ135" s="80"/>
    </row>
    <row r="136" spans="1:36">
      <c r="A136" s="80"/>
      <c r="B136" s="80"/>
      <c r="C136" s="80"/>
      <c r="D136" s="80"/>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80"/>
      <c r="AE136" s="80"/>
      <c r="AF136" s="80"/>
      <c r="AG136" s="80"/>
      <c r="AH136" s="80"/>
      <c r="AI136" s="80"/>
      <c r="AJ136" s="80"/>
    </row>
    <row r="137" spans="1:36">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row>
    <row r="138" spans="1:36">
      <c r="A138" s="80"/>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row>
    <row r="139" spans="1:36">
      <c r="A139" s="80"/>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80"/>
      <c r="AI139" s="80"/>
      <c r="AJ139" s="80"/>
    </row>
    <row r="140" spans="1:36">
      <c r="A140" s="80"/>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80"/>
      <c r="AI140" s="80"/>
      <c r="AJ140" s="80"/>
    </row>
    <row r="141" spans="1:36">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row>
    <row r="142" spans="1:36">
      <c r="A142" s="80"/>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c r="AI142" s="80"/>
      <c r="AJ142" s="80"/>
    </row>
    <row r="143" spans="1:36">
      <c r="A143" s="80"/>
      <c r="B143" s="80"/>
      <c r="C143" s="80"/>
      <c r="D143" s="80"/>
      <c r="E143" s="80"/>
      <c r="F143" s="80"/>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row>
    <row r="144" spans="1:36">
      <c r="A144" s="80"/>
      <c r="B144" s="80"/>
      <c r="C144" s="80"/>
      <c r="D144" s="80"/>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row>
    <row r="145" spans="1:36">
      <c r="A145" s="80"/>
      <c r="B145" s="80"/>
      <c r="C145" s="80"/>
      <c r="D145" s="80"/>
      <c r="E145" s="80"/>
      <c r="F145" s="80"/>
      <c r="G145" s="80"/>
      <c r="H145" s="80"/>
      <c r="I145" s="80"/>
      <c r="J145" s="80"/>
      <c r="K145" s="80"/>
      <c r="L145" s="80"/>
      <c r="M145" s="80"/>
      <c r="N145" s="80"/>
      <c r="O145" s="80"/>
      <c r="P145" s="80"/>
      <c r="Q145" s="80"/>
      <c r="R145" s="80"/>
      <c r="S145" s="80"/>
      <c r="T145" s="80"/>
      <c r="U145" s="80"/>
      <c r="V145" s="80"/>
      <c r="W145" s="80"/>
      <c r="X145" s="80"/>
      <c r="Y145" s="80"/>
      <c r="Z145" s="80"/>
      <c r="AA145" s="80"/>
      <c r="AB145" s="80"/>
      <c r="AC145" s="80"/>
      <c r="AD145" s="80"/>
      <c r="AE145" s="80"/>
      <c r="AF145" s="80"/>
      <c r="AG145" s="80"/>
      <c r="AH145" s="80"/>
      <c r="AI145" s="80"/>
      <c r="AJ145" s="80"/>
    </row>
    <row r="146" spans="1:36">
      <c r="A146" s="80"/>
      <c r="B146" s="80"/>
      <c r="C146" s="80"/>
      <c r="D146" s="80"/>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row>
    <row r="147" spans="1:36">
      <c r="A147" s="80"/>
      <c r="B147" s="80"/>
      <c r="C147" s="80"/>
      <c r="D147" s="80"/>
      <c r="E147" s="80"/>
      <c r="F147" s="80"/>
      <c r="G147" s="80"/>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row>
    <row r="148" spans="1:36">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row>
    <row r="149" spans="1:36">
      <c r="A149" s="80"/>
      <c r="B149" s="80"/>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row>
    <row r="150" spans="1:36">
      <c r="A150" s="80"/>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row>
  </sheetData>
  <dataConsolidate/>
  <phoneticPr fontId="2" type="noConversion"/>
  <pageMargins left="0.75" right="0.75" top="1" bottom="1" header="0.5" footer="0.5"/>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enableFormatConditionsCalculation="0">
    <tabColor indexed="41"/>
  </sheetPr>
  <dimension ref="A1:IV88"/>
  <sheetViews>
    <sheetView zoomScale="85" workbookViewId="0">
      <selection activeCell="EF11" sqref="EF11"/>
    </sheetView>
  </sheetViews>
  <sheetFormatPr defaultColWidth="8.85546875" defaultRowHeight="12.75"/>
  <sheetData>
    <row r="1" spans="1:256" s="170" customFormat="1">
      <c r="A1" s="170" t="str">
        <f>'Plot Layout'!B29</f>
        <v>Beta1</v>
      </c>
      <c r="B1" s="170" t="str">
        <f>'Plot Layout'!C29</f>
        <v>Solidity</v>
      </c>
      <c r="C1" s="170" t="str">
        <f>'Plot Layout'!D29</f>
        <v>ID</v>
      </c>
      <c r="D1" s="170" t="str">
        <f>'Plot Layout'!E29</f>
        <v>LER/Chord</v>
      </c>
      <c r="E1" s="170" t="str">
        <f>'Plot Layout'!F29</f>
        <v>TER/Chord</v>
      </c>
      <c r="F1" s="170" t="str">
        <f>'Plot Layout'!G29</f>
        <v>Tmax/C</v>
      </c>
      <c r="G1" s="170" t="str">
        <f>'Plot Layout'!H29</f>
        <v>65_Camber</v>
      </c>
      <c r="H1" s="170" t="str">
        <f>'Plot Layout'!I29</f>
        <v>Dum</v>
      </c>
      <c r="I1" s="170" t="str">
        <f>'Plot Layout'!J29</f>
        <v>MCL B1*-AlphaChord</v>
      </c>
      <c r="J1" s="170" t="str">
        <f>'Plot Layout'!K29</f>
        <v>Camber_MCL</v>
      </c>
      <c r="K1" s="170" t="str">
        <f>'Plot Layout'!L29</f>
        <v>LE_Wedge_Angle</v>
      </c>
      <c r="L1" s="170" t="str">
        <f>'Plot Layout'!M29</f>
        <v>TE_Wedge_Angle</v>
      </c>
      <c r="M1" s="170" t="str">
        <f>'Plot Layout'!N29</f>
        <v>O_q_Tau</v>
      </c>
      <c r="N1" s="170" t="str">
        <f>'Plot Layout'!O29</f>
        <v>TE_O_q_Min_O</v>
      </c>
      <c r="O1" s="170" t="str">
        <f>'Plot Layout'!P29</f>
        <v>Attack_Angle</v>
      </c>
      <c r="P1" s="170" t="str">
        <f>'Plot Layout'!Q29</f>
        <v>Turning</v>
      </c>
      <c r="Q1" s="170" t="str">
        <f>'Plot Layout'!R29</f>
        <v>Ave_Min_Loss</v>
      </c>
      <c r="R1" s="170" t="str">
        <f>'Plot Layout'!S29</f>
        <v/>
      </c>
      <c r="S1" s="170" t="str">
        <f>'Plot Layout'!T29</f>
        <v/>
      </c>
      <c r="T1" s="170" t="str">
        <f>'Plot Layout'!U29</f>
        <v/>
      </c>
      <c r="U1" s="170" t="str">
        <f>'Plot Layout'!V29</f>
        <v/>
      </c>
      <c r="V1" s="170" t="str">
        <f>'Plot Layout'!W29</f>
        <v/>
      </c>
      <c r="W1" s="170" t="str">
        <f>'Plot Layout'!X29</f>
        <v/>
      </c>
      <c r="X1" s="170" t="str">
        <f>'Plot Layout'!Y29</f>
        <v/>
      </c>
      <c r="Y1" s="170" t="str">
        <f>'Plot Layout'!Z29</f>
        <v/>
      </c>
      <c r="Z1" s="170" t="str">
        <f>'Plot Layout'!AA29</f>
        <v/>
      </c>
      <c r="AA1" s="170" t="str">
        <f>'Plot Layout'!AB29</f>
        <v/>
      </c>
      <c r="AB1" s="170" t="str">
        <f>'Plot Layout'!AC29</f>
        <v/>
      </c>
      <c r="AC1" s="170" t="str">
        <f>'Plot Layout'!AD29</f>
        <v/>
      </c>
      <c r="AD1" s="170" t="str">
        <f>'Plot Layout'!AE29</f>
        <v/>
      </c>
      <c r="AE1" s="170" t="str">
        <f>'Plot Layout'!AF29</f>
        <v/>
      </c>
      <c r="AF1" s="170" t="str">
        <f>'Plot Layout'!AG29</f>
        <v/>
      </c>
      <c r="AG1" s="170" t="str">
        <f>'Plot Layout'!AH29</f>
        <v/>
      </c>
      <c r="AH1" s="170" t="str">
        <f>'Plot Layout'!AI29</f>
        <v/>
      </c>
      <c r="AI1" s="170" t="str">
        <f>'Plot Layout'!AJ29</f>
        <v/>
      </c>
      <c r="AJ1" s="170" t="str">
        <f>'Plot Layout'!AK29</f>
        <v/>
      </c>
      <c r="AK1" s="170" t="str">
        <f>'Plot Layout'!AL29</f>
        <v/>
      </c>
      <c r="AL1" s="170" t="str">
        <f>'Plot Layout'!AM29</f>
        <v/>
      </c>
      <c r="AM1" s="170" t="str">
        <f>'Plot Layout'!AN29</f>
        <v/>
      </c>
      <c r="AN1" s="170" t="str">
        <f>'Plot Layout'!AO29</f>
        <v/>
      </c>
      <c r="AO1" s="170" t="str">
        <f>'Plot Layout'!AP29</f>
        <v/>
      </c>
      <c r="AP1" s="170" t="str">
        <f>'Plot Layout'!AQ29</f>
        <v/>
      </c>
      <c r="AQ1" s="170" t="str">
        <f>'Plot Layout'!AR29</f>
        <v/>
      </c>
      <c r="AR1" s="170" t="str">
        <f>'Plot Layout'!AS29</f>
        <v/>
      </c>
      <c r="AS1" s="170" t="str">
        <f>'Plot Layout'!AT29</f>
        <v/>
      </c>
      <c r="AT1" s="170" t="str">
        <f>'Plot Layout'!AU29</f>
        <v/>
      </c>
      <c r="AU1" s="170" t="str">
        <f>'Plot Layout'!AV29</f>
        <v/>
      </c>
      <c r="AV1" s="170" t="str">
        <f>'Plot Layout'!AW29</f>
        <v/>
      </c>
      <c r="AW1" s="170" t="str">
        <f>'Plot Layout'!AX29</f>
        <v/>
      </c>
      <c r="AX1" s="170" t="str">
        <f>'Plot Layout'!AY29</f>
        <v/>
      </c>
      <c r="AY1" s="170" t="str">
        <f>'Plot Layout'!AZ29</f>
        <v/>
      </c>
      <c r="AZ1" s="170" t="str">
        <f>'Plot Layout'!BA29</f>
        <v/>
      </c>
      <c r="BA1" s="170" t="str">
        <f>'Plot Layout'!BB29</f>
        <v/>
      </c>
      <c r="BB1" s="170" t="str">
        <f>'Plot Layout'!BC29</f>
        <v/>
      </c>
      <c r="BC1" s="170" t="str">
        <f>'Plot Layout'!BD29</f>
        <v/>
      </c>
      <c r="BD1" s="170" t="str">
        <f>'Plot Layout'!BE29</f>
        <v/>
      </c>
      <c r="BE1" s="170" t="str">
        <f>'Plot Layout'!BF29</f>
        <v/>
      </c>
      <c r="BF1" s="170" t="str">
        <f>'Plot Layout'!BG29</f>
        <v/>
      </c>
      <c r="BG1" s="170" t="str">
        <f>'Plot Layout'!BH29</f>
        <v/>
      </c>
      <c r="BH1" s="170" t="str">
        <f>'Plot Layout'!BI29</f>
        <v/>
      </c>
      <c r="BI1" s="170" t="str">
        <f>'Plot Layout'!BJ29</f>
        <v/>
      </c>
      <c r="BJ1" s="170" t="str">
        <f>'Plot Layout'!BK29</f>
        <v/>
      </c>
      <c r="BK1" s="170" t="str">
        <f>'Plot Layout'!BL29</f>
        <v/>
      </c>
      <c r="BL1" s="170" t="str">
        <f>'Plot Layout'!BM29</f>
        <v/>
      </c>
      <c r="BM1" s="170" t="str">
        <f>'Plot Layout'!BN29</f>
        <v/>
      </c>
      <c r="BN1" s="170" t="str">
        <f>'Plot Layout'!BO29</f>
        <v/>
      </c>
      <c r="BO1" s="170" t="str">
        <f>'Plot Layout'!BP29</f>
        <v/>
      </c>
      <c r="BP1" s="170" t="str">
        <f>'Plot Layout'!BQ29</f>
        <v/>
      </c>
      <c r="BQ1" s="170" t="str">
        <f>'Plot Layout'!BR29</f>
        <v/>
      </c>
      <c r="BR1" s="170" t="str">
        <f>'Plot Layout'!BS29</f>
        <v/>
      </c>
      <c r="BS1" s="170" t="str">
        <f>'Plot Layout'!BT29</f>
        <v/>
      </c>
      <c r="BT1" s="170" t="str">
        <f>'Plot Layout'!BU29</f>
        <v/>
      </c>
      <c r="BU1" s="170" t="str">
        <f>'Plot Layout'!BV29</f>
        <v/>
      </c>
      <c r="BV1" s="170" t="str">
        <f>'Plot Layout'!BW29</f>
        <v/>
      </c>
      <c r="BW1" s="170" t="str">
        <f>'Plot Layout'!BX29</f>
        <v/>
      </c>
      <c r="BX1" s="170" t="str">
        <f>'Plot Layout'!BY29</f>
        <v/>
      </c>
      <c r="BY1" s="170" t="str">
        <f>'Plot Layout'!BZ29</f>
        <v/>
      </c>
      <c r="BZ1" s="170" t="str">
        <f>'Plot Layout'!CA29</f>
        <v/>
      </c>
      <c r="CA1" s="170" t="str">
        <f>'Plot Layout'!CB29</f>
        <v/>
      </c>
      <c r="CB1" s="170" t="str">
        <f>'Plot Layout'!CC29</f>
        <v/>
      </c>
      <c r="CC1" s="170" t="str">
        <f>'Plot Layout'!CD29</f>
        <v/>
      </c>
      <c r="CD1" s="170" t="str">
        <f>'Plot Layout'!CE29</f>
        <v/>
      </c>
      <c r="CE1" s="170" t="str">
        <f>'Plot Layout'!CF29</f>
        <v/>
      </c>
      <c r="CF1" s="170" t="str">
        <f>'Plot Layout'!CG29</f>
        <v/>
      </c>
      <c r="CG1" s="170" t="str">
        <f>'Plot Layout'!CH29</f>
        <v/>
      </c>
      <c r="CH1" s="170" t="str">
        <f>'Plot Layout'!CI29</f>
        <v/>
      </c>
      <c r="CI1" s="170" t="str">
        <f>'Plot Layout'!CJ29</f>
        <v/>
      </c>
      <c r="CJ1" s="170" t="str">
        <f>'Plot Layout'!CK29</f>
        <v/>
      </c>
      <c r="CK1" s="170" t="str">
        <f>'Plot Layout'!CL29</f>
        <v/>
      </c>
      <c r="CL1" s="170" t="str">
        <f>'Plot Layout'!CM29</f>
        <v/>
      </c>
      <c r="CM1" s="170" t="str">
        <f>'Plot Layout'!CN29</f>
        <v/>
      </c>
      <c r="CN1" s="170" t="str">
        <f>'Plot Layout'!CO29</f>
        <v/>
      </c>
      <c r="CO1" s="170" t="str">
        <f>'Plot Layout'!CP29</f>
        <v/>
      </c>
      <c r="CP1" s="170" t="str">
        <f>'Plot Layout'!CQ29</f>
        <v/>
      </c>
      <c r="CQ1" s="170" t="str">
        <f>'Plot Layout'!CR29</f>
        <v/>
      </c>
      <c r="CR1" s="170" t="str">
        <f>'Plot Layout'!CS29</f>
        <v/>
      </c>
      <c r="CS1" s="170" t="str">
        <f>'Plot Layout'!CT29</f>
        <v/>
      </c>
      <c r="CT1" s="170" t="str">
        <f>'Plot Layout'!CU29</f>
        <v/>
      </c>
      <c r="CU1" s="170" t="str">
        <f>'Plot Layout'!CV29</f>
        <v/>
      </c>
      <c r="CV1" s="170" t="str">
        <f>'Plot Layout'!CW29</f>
        <v/>
      </c>
      <c r="CW1" s="170" t="str">
        <f>'Plot Layout'!B38</f>
        <v/>
      </c>
      <c r="CX1" s="170" t="str">
        <f>'Plot Layout'!C38</f>
        <v/>
      </c>
      <c r="CY1" s="170" t="str">
        <f>'Plot Layout'!D38</f>
        <v/>
      </c>
      <c r="CZ1" s="170" t="str">
        <f>'Plot Layout'!E38</f>
        <v/>
      </c>
      <c r="DA1" s="170" t="str">
        <f>'Plot Layout'!F38</f>
        <v/>
      </c>
      <c r="DB1" s="170" t="str">
        <f>'Plot Layout'!G38</f>
        <v/>
      </c>
      <c r="DC1" s="170" t="str">
        <f>'Plot Layout'!H38</f>
        <v/>
      </c>
      <c r="DD1" s="170" t="str">
        <f>'Plot Layout'!I38</f>
        <v/>
      </c>
      <c r="DE1" s="170" t="str">
        <f>'Plot Layout'!J38</f>
        <v/>
      </c>
      <c r="DF1" s="170" t="str">
        <f>'Plot Layout'!K38</f>
        <v/>
      </c>
      <c r="DG1" s="170" t="str">
        <f>'Plot Layout'!L38</f>
        <v/>
      </c>
      <c r="DH1" s="170" t="str">
        <f>'Plot Layout'!M38</f>
        <v/>
      </c>
      <c r="DI1" s="170" t="str">
        <f>'Plot Layout'!N38</f>
        <v/>
      </c>
      <c r="DJ1" s="170" t="str">
        <f>'Plot Layout'!O38</f>
        <v/>
      </c>
      <c r="DK1" s="170" t="str">
        <f>'Plot Layout'!P38</f>
        <v/>
      </c>
      <c r="DL1" s="170" t="str">
        <f>'Plot Layout'!Q38</f>
        <v/>
      </c>
      <c r="DM1" s="170" t="str">
        <f>'Plot Layout'!R38</f>
        <v/>
      </c>
      <c r="DN1" s="170" t="str">
        <f>'Plot Layout'!S38</f>
        <v/>
      </c>
      <c r="DO1" s="170" t="str">
        <f>'Plot Layout'!T38</f>
        <v/>
      </c>
      <c r="DP1" s="170" t="str">
        <f>'Plot Layout'!U38</f>
        <v/>
      </c>
      <c r="DQ1" s="170" t="str">
        <f>'Plot Layout'!V38</f>
        <v/>
      </c>
      <c r="DR1" s="170" t="str">
        <f>'Plot Layout'!W38</f>
        <v/>
      </c>
      <c r="DS1" s="170" t="str">
        <f>'Plot Layout'!X38</f>
        <v/>
      </c>
      <c r="DT1" s="170" t="str">
        <f>'Plot Layout'!Y38</f>
        <v/>
      </c>
      <c r="DU1" s="170" t="str">
        <f>'Plot Layout'!Z38</f>
        <v/>
      </c>
      <c r="DV1" s="170" t="str">
        <f>'Plot Layout'!AA38</f>
        <v/>
      </c>
      <c r="DW1" s="170" t="str">
        <f>'Plot Layout'!AB38</f>
        <v/>
      </c>
      <c r="DX1" s="170" t="str">
        <f>'Plot Layout'!AC38</f>
        <v/>
      </c>
      <c r="DY1" s="170" t="str">
        <f>'Plot Layout'!AD38</f>
        <v/>
      </c>
      <c r="DZ1" s="170" t="str">
        <f>'Plot Layout'!AE38</f>
        <v/>
      </c>
      <c r="EA1" s="170" t="str">
        <f>'Plot Layout'!AF38</f>
        <v/>
      </c>
      <c r="EB1" s="170" t="str">
        <f>'Plot Layout'!AG38</f>
        <v/>
      </c>
      <c r="EC1" s="170" t="str">
        <f>'Plot Layout'!AH38</f>
        <v/>
      </c>
      <c r="ED1" s="170" t="str">
        <f>'Plot Layout'!AI38</f>
        <v/>
      </c>
      <c r="EE1" s="170" t="str">
        <f>'Plot Layout'!AJ38</f>
        <v/>
      </c>
      <c r="EF1" s="170" t="str">
        <f>'Plot Layout'!AK38</f>
        <v/>
      </c>
      <c r="EG1" s="170" t="str">
        <f>'Plot Layout'!AL38</f>
        <v/>
      </c>
      <c r="EH1" s="170" t="str">
        <f>'Plot Layout'!AM38</f>
        <v/>
      </c>
      <c r="EI1" s="170" t="str">
        <f>'Plot Layout'!AN38</f>
        <v/>
      </c>
      <c r="EJ1" s="170" t="str">
        <f>'Plot Layout'!AO38</f>
        <v/>
      </c>
      <c r="EK1" s="170" t="str">
        <f>'Plot Layout'!AP38</f>
        <v/>
      </c>
      <c r="EL1" s="170" t="str">
        <f>'Plot Layout'!AQ38</f>
        <v/>
      </c>
      <c r="EM1" s="170" t="str">
        <f>'Plot Layout'!AR38</f>
        <v/>
      </c>
      <c r="EN1" s="170" t="str">
        <f>'Plot Layout'!AS38</f>
        <v/>
      </c>
      <c r="EO1" s="170" t="str">
        <f>'Plot Layout'!AT38</f>
        <v/>
      </c>
      <c r="EP1" s="170" t="str">
        <f>'Plot Layout'!AU38</f>
        <v/>
      </c>
      <c r="EQ1" s="170" t="str">
        <f>'Plot Layout'!AV38</f>
        <v/>
      </c>
      <c r="ER1" s="170" t="str">
        <f>'Plot Layout'!AW38</f>
        <v/>
      </c>
      <c r="ES1" s="170" t="str">
        <f>'Plot Layout'!AX38</f>
        <v/>
      </c>
      <c r="ET1" s="170" t="str">
        <f>'Plot Layout'!AY38</f>
        <v/>
      </c>
      <c r="EU1" s="170" t="str">
        <f>'Plot Layout'!AZ38</f>
        <v/>
      </c>
      <c r="EV1" s="170" t="str">
        <f>'Plot Layout'!BA38</f>
        <v/>
      </c>
      <c r="EW1" s="170" t="str">
        <f>'Plot Layout'!BB38</f>
        <v/>
      </c>
      <c r="EX1" s="170" t="str">
        <f>'Plot Layout'!BC38</f>
        <v/>
      </c>
      <c r="EY1" s="170" t="str">
        <f>'Plot Layout'!BD38</f>
        <v/>
      </c>
      <c r="EZ1" s="170" t="str">
        <f>'Plot Layout'!BE38</f>
        <v/>
      </c>
      <c r="FA1" s="170" t="str">
        <f>'Plot Layout'!BF38</f>
        <v/>
      </c>
      <c r="FB1" s="170" t="str">
        <f>'Plot Layout'!BG38</f>
        <v/>
      </c>
      <c r="FC1" s="170" t="str">
        <f>'Plot Layout'!BH38</f>
        <v/>
      </c>
      <c r="FD1" s="170" t="str">
        <f>'Plot Layout'!BI38</f>
        <v/>
      </c>
      <c r="FE1" s="170" t="str">
        <f>'Plot Layout'!BJ38</f>
        <v/>
      </c>
      <c r="FF1" s="170" t="str">
        <f>'Plot Layout'!BK38</f>
        <v/>
      </c>
      <c r="FG1" s="170" t="str">
        <f>'Plot Layout'!BL38</f>
        <v/>
      </c>
      <c r="FH1" s="170" t="str">
        <f>'Plot Layout'!BM38</f>
        <v/>
      </c>
      <c r="FI1" s="170" t="str">
        <f>'Plot Layout'!BN38</f>
        <v/>
      </c>
      <c r="FJ1" s="170" t="str">
        <f>'Plot Layout'!BO38</f>
        <v/>
      </c>
      <c r="FK1" s="170" t="str">
        <f>'Plot Layout'!BP38</f>
        <v/>
      </c>
      <c r="FL1" s="170" t="str">
        <f>'Plot Layout'!BQ38</f>
        <v/>
      </c>
      <c r="FM1" s="170" t="str">
        <f>'Plot Layout'!BR38</f>
        <v/>
      </c>
      <c r="FN1" s="170" t="str">
        <f>'Plot Layout'!BS38</f>
        <v/>
      </c>
      <c r="FO1" s="170" t="str">
        <f>'Plot Layout'!BT38</f>
        <v/>
      </c>
      <c r="FP1" s="170" t="str">
        <f>'Plot Layout'!BU38</f>
        <v/>
      </c>
      <c r="FQ1" s="170" t="str">
        <f>'Plot Layout'!BV38</f>
        <v/>
      </c>
      <c r="FR1" s="170" t="str">
        <f>'Plot Layout'!BW38</f>
        <v/>
      </c>
      <c r="FS1" s="170" t="str">
        <f>'Plot Layout'!BX38</f>
        <v/>
      </c>
      <c r="FT1" s="170" t="str">
        <f>'Plot Layout'!BY38</f>
        <v/>
      </c>
      <c r="FU1" s="170" t="str">
        <f>'Plot Layout'!BZ38</f>
        <v/>
      </c>
      <c r="FV1" s="170" t="str">
        <f>'Plot Layout'!CA38</f>
        <v/>
      </c>
      <c r="FW1" s="170" t="str">
        <f>'Plot Layout'!CB38</f>
        <v/>
      </c>
      <c r="FX1" s="170" t="str">
        <f>'Plot Layout'!CC38</f>
        <v/>
      </c>
      <c r="FY1" s="170" t="str">
        <f>'Plot Layout'!CD38</f>
        <v/>
      </c>
      <c r="FZ1" s="170" t="str">
        <f>'Plot Layout'!CE38</f>
        <v/>
      </c>
      <c r="GA1" s="170" t="str">
        <f>'Plot Layout'!CF38</f>
        <v/>
      </c>
      <c r="GB1" s="170" t="str">
        <f>'Plot Layout'!CG38</f>
        <v/>
      </c>
      <c r="GC1" s="170" t="str">
        <f>'Plot Layout'!CH38</f>
        <v/>
      </c>
      <c r="GD1" s="170" t="str">
        <f>'Plot Layout'!CI38</f>
        <v/>
      </c>
      <c r="GE1" s="170" t="str">
        <f>'Plot Layout'!CJ38</f>
        <v/>
      </c>
      <c r="GF1" s="170" t="str">
        <f>'Plot Layout'!CK38</f>
        <v/>
      </c>
      <c r="GG1" s="170" t="str">
        <f>'Plot Layout'!CL38</f>
        <v/>
      </c>
      <c r="GH1" s="170" t="str">
        <f>'Plot Layout'!CM38</f>
        <v/>
      </c>
      <c r="GI1" s="170" t="str">
        <f>'Plot Layout'!CN38</f>
        <v/>
      </c>
      <c r="GJ1" s="170" t="str">
        <f>'Plot Layout'!CO38</f>
        <v/>
      </c>
      <c r="GK1" s="170" t="str">
        <f>'Plot Layout'!CP38</f>
        <v/>
      </c>
      <c r="GL1" s="170" t="str">
        <f>'Plot Layout'!CQ38</f>
        <v/>
      </c>
      <c r="GM1" s="170" t="str">
        <f>'Plot Layout'!CR38</f>
        <v/>
      </c>
      <c r="GN1" s="170" t="str">
        <f>'Plot Layout'!CS38</f>
        <v/>
      </c>
      <c r="GO1" s="170" t="str">
        <f>'Plot Layout'!CT38</f>
        <v/>
      </c>
      <c r="GP1" s="170" t="str">
        <f>'Plot Layout'!CU38</f>
        <v/>
      </c>
      <c r="GQ1" s="170" t="str">
        <f>'Plot Layout'!CV38</f>
        <v/>
      </c>
      <c r="GR1" s="170" t="str">
        <f>'Plot Layout'!CW38</f>
        <v/>
      </c>
      <c r="GS1" s="170" t="str">
        <f>'Plot Layout'!B47</f>
        <v/>
      </c>
      <c r="GT1" s="170" t="str">
        <f>'Plot Layout'!C47</f>
        <v/>
      </c>
      <c r="GU1" s="170" t="str">
        <f>'Plot Layout'!D47</f>
        <v/>
      </c>
      <c r="GV1" s="170" t="str">
        <f>'Plot Layout'!E47</f>
        <v/>
      </c>
      <c r="GW1" s="170" t="str">
        <f>'Plot Layout'!F47</f>
        <v/>
      </c>
      <c r="GX1" s="170" t="str">
        <f>'Plot Layout'!G47</f>
        <v/>
      </c>
      <c r="GY1" s="170" t="str">
        <f>'Plot Layout'!H47</f>
        <v/>
      </c>
      <c r="GZ1" s="170" t="str">
        <f>'Plot Layout'!I47</f>
        <v/>
      </c>
      <c r="HA1" s="170" t="str">
        <f>'Plot Layout'!J47</f>
        <v/>
      </c>
      <c r="HB1" s="170" t="str">
        <f>'Plot Layout'!K47</f>
        <v/>
      </c>
      <c r="HC1" s="170" t="str">
        <f>'Plot Layout'!L47</f>
        <v/>
      </c>
      <c r="HD1" s="170" t="str">
        <f>'Plot Layout'!M47</f>
        <v/>
      </c>
      <c r="HE1" s="170" t="str">
        <f>'Plot Layout'!N47</f>
        <v/>
      </c>
      <c r="HF1" s="170" t="str">
        <f>'Plot Layout'!O47</f>
        <v/>
      </c>
      <c r="HG1" s="170" t="str">
        <f>'Plot Layout'!P47</f>
        <v/>
      </c>
      <c r="HH1" s="170" t="str">
        <f>'Plot Layout'!Q47</f>
        <v/>
      </c>
      <c r="HI1" s="170" t="str">
        <f>'Plot Layout'!R47</f>
        <v/>
      </c>
      <c r="HJ1" s="170" t="str">
        <f>'Plot Layout'!S47</f>
        <v/>
      </c>
      <c r="HK1" s="170" t="str">
        <f>'Plot Layout'!T47</f>
        <v/>
      </c>
      <c r="HL1" s="170" t="str">
        <f>'Plot Layout'!U47</f>
        <v/>
      </c>
      <c r="HM1" s="170" t="str">
        <f>'Plot Layout'!V47</f>
        <v/>
      </c>
      <c r="HN1" s="170" t="str">
        <f>'Plot Layout'!W47</f>
        <v/>
      </c>
      <c r="HO1" s="170" t="str">
        <f>'Plot Layout'!X47</f>
        <v/>
      </c>
      <c r="HP1" s="170" t="str">
        <f>'Plot Layout'!Y47</f>
        <v/>
      </c>
      <c r="HQ1" s="170" t="str">
        <f>'Plot Layout'!Z47</f>
        <v/>
      </c>
      <c r="HR1" s="170" t="str">
        <f>'Plot Layout'!AA47</f>
        <v/>
      </c>
      <c r="HS1" s="170" t="str">
        <f>'Plot Layout'!AB47</f>
        <v/>
      </c>
      <c r="HT1" s="170" t="str">
        <f>'Plot Layout'!AC47</f>
        <v/>
      </c>
      <c r="HU1" s="170" t="str">
        <f>'Plot Layout'!AD47</f>
        <v/>
      </c>
      <c r="HV1" s="170" t="str">
        <f>'Plot Layout'!AE47</f>
        <v/>
      </c>
      <c r="HW1" s="170" t="str">
        <f>'Plot Layout'!AF47</f>
        <v/>
      </c>
      <c r="HX1" s="170" t="str">
        <f>'Plot Layout'!AG47</f>
        <v/>
      </c>
      <c r="HY1" s="170" t="str">
        <f>'Plot Layout'!AH47</f>
        <v/>
      </c>
      <c r="HZ1" s="170" t="str">
        <f>'Plot Layout'!AI47</f>
        <v/>
      </c>
      <c r="IA1" s="170" t="str">
        <f>'Plot Layout'!AJ47</f>
        <v/>
      </c>
      <c r="IB1" s="170" t="str">
        <f>'Plot Layout'!AK47</f>
        <v/>
      </c>
      <c r="IC1" s="170" t="str">
        <f>'Plot Layout'!AL47</f>
        <v/>
      </c>
      <c r="ID1" s="170" t="str">
        <f>'Plot Layout'!AM47</f>
        <v/>
      </c>
      <c r="IE1" s="170" t="str">
        <f>'Plot Layout'!AN47</f>
        <v/>
      </c>
      <c r="IF1" s="170" t="str">
        <f>'Plot Layout'!AO47</f>
        <v/>
      </c>
      <c r="IG1" s="170" t="str">
        <f>'Plot Layout'!AP47</f>
        <v/>
      </c>
      <c r="IH1" s="170" t="str">
        <f>'Plot Layout'!AQ47</f>
        <v/>
      </c>
      <c r="II1" s="170" t="str">
        <f>'Plot Layout'!AR47</f>
        <v/>
      </c>
      <c r="IJ1" s="170" t="str">
        <f>'Plot Layout'!AS47</f>
        <v/>
      </c>
      <c r="IK1" s="170" t="str">
        <f>'Plot Layout'!AT47</f>
        <v/>
      </c>
      <c r="IL1" s="170" t="str">
        <f>'Plot Layout'!AU47</f>
        <v/>
      </c>
      <c r="IM1" s="170" t="str">
        <f>'Plot Layout'!AV47</f>
        <v/>
      </c>
      <c r="IN1" s="170" t="str">
        <f>'Plot Layout'!AW47</f>
        <v/>
      </c>
      <c r="IO1" s="170" t="str">
        <f>'Plot Layout'!AX47</f>
        <v/>
      </c>
      <c r="IP1" s="170" t="str">
        <f>'Plot Layout'!AY47</f>
        <v/>
      </c>
      <c r="IQ1" s="170" t="str">
        <f>'Plot Layout'!AZ47</f>
        <v/>
      </c>
      <c r="IR1" s="170" t="str">
        <f>'Plot Layout'!BA47</f>
        <v/>
      </c>
      <c r="IS1" s="170" t="str">
        <f>'Plot Layout'!BB47</f>
        <v/>
      </c>
      <c r="IT1" s="170" t="str">
        <f>'Plot Layout'!BC47</f>
        <v/>
      </c>
      <c r="IU1" s="170" t="str">
        <f>'Plot Layout'!BD47</f>
        <v/>
      </c>
      <c r="IV1" s="170" t="str">
        <f>'Plot Layout'!BE47</f>
        <v/>
      </c>
    </row>
    <row r="2" spans="1:256" s="86" customFormat="1">
      <c r="AD2" s="86">
        <f>AD$53*AY2^2+AD$54*AY2+AD$55</f>
        <v>-1.25</v>
      </c>
      <c r="AY2" s="86">
        <v>0</v>
      </c>
      <c r="BZ2" s="86">
        <f>IF(BZ$53+BZ$54*AY2&gt;BZ$55,BZ$55,BZ$53+BZ$54*AY2)</f>
        <v>7</v>
      </c>
      <c r="EF2" s="86">
        <f>EF$53*EB2^EF$54</f>
        <v>0</v>
      </c>
    </row>
    <row r="3" spans="1:256" s="86" customFormat="1">
      <c r="AD3" s="86">
        <f t="shared" ref="AD3:AD14" si="0">AD$53*AY3^2+AD$54*AY3+AD$55</f>
        <v>0</v>
      </c>
      <c r="AY3" s="86">
        <v>0.1</v>
      </c>
      <c r="BZ3" s="86">
        <f t="shared" ref="BZ3:BZ14" si="1">IF(BZ$53+BZ$54*AY3&gt;BZ$55,BZ$55,BZ$53+BZ$54*AY3)</f>
        <v>7</v>
      </c>
      <c r="EF3" s="86">
        <f t="shared" ref="EF3:EF9" si="2">EF$53*EB3^EF$54</f>
        <v>0</v>
      </c>
    </row>
    <row r="4" spans="1:256" s="86" customFormat="1">
      <c r="AD4" s="86">
        <f t="shared" si="0"/>
        <v>0.74999999999999978</v>
      </c>
      <c r="AY4" s="86">
        <v>0.2</v>
      </c>
      <c r="BZ4" s="86">
        <f t="shared" si="1"/>
        <v>7</v>
      </c>
      <c r="EF4" s="86">
        <f t="shared" si="2"/>
        <v>0</v>
      </c>
    </row>
    <row r="5" spans="1:256" s="86" customFormat="1">
      <c r="AD5" s="86">
        <f t="shared" si="0"/>
        <v>1</v>
      </c>
      <c r="AY5" s="86">
        <v>0.3</v>
      </c>
      <c r="BZ5" s="86">
        <f t="shared" si="1"/>
        <v>7</v>
      </c>
      <c r="EF5" s="86">
        <f t="shared" si="2"/>
        <v>0</v>
      </c>
    </row>
    <row r="6" spans="1:256" s="86" customFormat="1">
      <c r="AD6" s="86">
        <f t="shared" si="0"/>
        <v>0.74999999999999911</v>
      </c>
      <c r="AY6" s="86">
        <v>0.4</v>
      </c>
      <c r="BZ6" s="86">
        <f t="shared" si="1"/>
        <v>7</v>
      </c>
      <c r="EF6" s="86">
        <f t="shared" si="2"/>
        <v>0</v>
      </c>
    </row>
    <row r="7" spans="1:256" s="86" customFormat="1">
      <c r="AD7" s="86">
        <f t="shared" si="0"/>
        <v>0.55555555555555536</v>
      </c>
      <c r="AY7" s="86">
        <f>(BZ55-BZ53)/BZ54</f>
        <v>0.43333333333333335</v>
      </c>
      <c r="BZ7" s="86">
        <f t="shared" si="1"/>
        <v>7</v>
      </c>
      <c r="EF7" s="86">
        <f t="shared" si="2"/>
        <v>0</v>
      </c>
    </row>
    <row r="8" spans="1:256" s="86" customFormat="1">
      <c r="AD8" s="86">
        <f t="shared" si="0"/>
        <v>0</v>
      </c>
      <c r="AY8" s="86">
        <v>0.5</v>
      </c>
      <c r="BZ8" s="86">
        <f t="shared" si="1"/>
        <v>5</v>
      </c>
      <c r="EF8" s="86">
        <f t="shared" si="2"/>
        <v>0</v>
      </c>
    </row>
    <row r="9" spans="1:256" s="86" customFormat="1">
      <c r="AD9" s="86">
        <f t="shared" si="0"/>
        <v>-1.25</v>
      </c>
      <c r="AY9" s="86">
        <v>0.6</v>
      </c>
      <c r="BZ9" s="86">
        <f t="shared" si="1"/>
        <v>2</v>
      </c>
      <c r="EF9" s="86">
        <f t="shared" si="2"/>
        <v>0</v>
      </c>
    </row>
    <row r="10" spans="1:256" s="86" customFormat="1">
      <c r="AD10" s="86">
        <f t="shared" si="0"/>
        <v>-2.9999999999999982</v>
      </c>
      <c r="AY10" s="86">
        <v>0.7</v>
      </c>
      <c r="BZ10" s="86">
        <f t="shared" si="1"/>
        <v>-1</v>
      </c>
    </row>
    <row r="11" spans="1:256" s="86" customFormat="1">
      <c r="AD11" s="86">
        <f t="shared" si="0"/>
        <v>-5.2500000000000036</v>
      </c>
      <c r="AY11" s="86">
        <v>0.8</v>
      </c>
      <c r="BZ11" s="86">
        <f t="shared" si="1"/>
        <v>-4</v>
      </c>
    </row>
    <row r="12" spans="1:256" s="86" customFormat="1">
      <c r="AD12" s="86">
        <f t="shared" si="0"/>
        <v>-8</v>
      </c>
      <c r="AY12" s="86">
        <v>0.9</v>
      </c>
      <c r="BZ12" s="86">
        <f t="shared" si="1"/>
        <v>-7</v>
      </c>
    </row>
    <row r="13" spans="1:256" s="86" customFormat="1">
      <c r="AD13" s="86">
        <f t="shared" si="0"/>
        <v>-11.25</v>
      </c>
      <c r="AY13" s="86">
        <v>1</v>
      </c>
      <c r="BZ13" s="86">
        <f t="shared" si="1"/>
        <v>-10</v>
      </c>
    </row>
    <row r="14" spans="1:256" s="86" customFormat="1">
      <c r="AD14" s="86">
        <f t="shared" si="0"/>
        <v>-15.000000000000004</v>
      </c>
      <c r="AY14" s="86">
        <v>1.1000000000000001</v>
      </c>
      <c r="BZ14" s="86">
        <f t="shared" si="1"/>
        <v>-13</v>
      </c>
    </row>
    <row r="15" spans="1:256" s="86" customFormat="1"/>
    <row r="16" spans="1:256" s="86" customFormat="1"/>
    <row r="17" spans="1:1" s="86" customFormat="1"/>
    <row r="18" spans="1:1" s="86" customFormat="1"/>
    <row r="19" spans="1:1" s="86" customFormat="1"/>
    <row r="20" spans="1:1" s="86" customFormat="1"/>
    <row r="21" spans="1:1" s="86" customFormat="1"/>
    <row r="22" spans="1:1" s="86" customFormat="1"/>
    <row r="23" spans="1:1" s="86" customFormat="1"/>
    <row r="24" spans="1:1" s="86" customFormat="1"/>
    <row r="25" spans="1:1" s="86" customFormat="1"/>
    <row r="26" spans="1:1" s="86" customFormat="1"/>
    <row r="27" spans="1:1" s="86" customFormat="1"/>
    <row r="28" spans="1:1" s="86" customFormat="1"/>
    <row r="29" spans="1:1" s="86" customFormat="1"/>
    <row r="30" spans="1:1" s="86" customFormat="1"/>
    <row r="31" spans="1:1" s="86" customFormat="1"/>
    <row r="32" spans="1:1" s="86" customFormat="1"/>
    <row r="33" spans="1:1" s="86" customFormat="1"/>
    <row r="34" spans="1:1" s="86" customFormat="1"/>
    <row r="35" spans="1:1" s="86" customFormat="1"/>
    <row r="36" spans="1:1" s="86" customFormat="1"/>
    <row r="37" spans="1:1" s="86" customFormat="1"/>
    <row r="38" spans="1:1" s="86" customFormat="1"/>
    <row r="39" spans="1:1" s="86" customFormat="1"/>
    <row r="40" spans="1:1" s="86" customFormat="1"/>
    <row r="41" spans="1:1" s="86" customFormat="1"/>
    <row r="42" spans="1:1" s="86" customFormat="1"/>
    <row r="43" spans="1:1" s="86" customFormat="1"/>
    <row r="44" spans="1:1" s="86" customFormat="1"/>
    <row r="45" spans="1:1" s="86" customFormat="1"/>
    <row r="46" spans="1:1" s="86" customFormat="1"/>
    <row r="47" spans="1:1" s="86" customFormat="1"/>
    <row r="48" spans="1:1" s="86" customFormat="1"/>
    <row r="49" spans="1:256" s="86" customFormat="1"/>
    <row r="50" spans="1:256" s="86" customFormat="1"/>
    <row r="51" spans="1:256" s="86" customFormat="1"/>
    <row r="52" spans="1:256" s="80" customFormat="1">
      <c r="A52" s="230">
        <v>1</v>
      </c>
      <c r="B52" s="230">
        <v>2</v>
      </c>
      <c r="C52" s="230">
        <v>3</v>
      </c>
      <c r="D52" s="230">
        <v>4</v>
      </c>
      <c r="E52" s="230">
        <v>5</v>
      </c>
      <c r="F52" s="230">
        <v>6</v>
      </c>
      <c r="G52" s="230">
        <v>7</v>
      </c>
      <c r="H52" s="230">
        <v>8</v>
      </c>
      <c r="I52" s="230">
        <v>9</v>
      </c>
      <c r="J52" s="230">
        <v>10</v>
      </c>
      <c r="K52" s="230">
        <v>11</v>
      </c>
      <c r="L52" s="230">
        <v>12</v>
      </c>
      <c r="M52" s="230">
        <v>13</v>
      </c>
      <c r="N52" s="230">
        <v>14</v>
      </c>
      <c r="O52" s="230">
        <v>15</v>
      </c>
      <c r="P52" s="230">
        <v>16</v>
      </c>
      <c r="Q52" s="230">
        <v>17</v>
      </c>
      <c r="R52" s="230">
        <v>18</v>
      </c>
      <c r="S52" s="230">
        <v>19</v>
      </c>
      <c r="T52" s="230">
        <v>20</v>
      </c>
      <c r="U52" s="230">
        <v>21</v>
      </c>
      <c r="V52" s="230">
        <v>22</v>
      </c>
      <c r="W52" s="230">
        <v>23</v>
      </c>
      <c r="X52" s="230">
        <v>24</v>
      </c>
      <c r="Y52" s="230">
        <v>25</v>
      </c>
      <c r="Z52" s="230">
        <v>26</v>
      </c>
      <c r="AA52" s="230">
        <v>27</v>
      </c>
      <c r="AB52" s="230">
        <v>28</v>
      </c>
      <c r="AC52" s="230">
        <v>29</v>
      </c>
      <c r="AD52" s="230">
        <v>30</v>
      </c>
      <c r="AE52" s="230">
        <v>31</v>
      </c>
      <c r="AF52" s="230">
        <v>32</v>
      </c>
      <c r="AG52" s="230">
        <v>33</v>
      </c>
      <c r="AH52" s="230">
        <v>34</v>
      </c>
      <c r="AI52" s="230">
        <v>35</v>
      </c>
      <c r="AJ52" s="230">
        <v>36</v>
      </c>
      <c r="AK52" s="230">
        <v>37</v>
      </c>
      <c r="AL52" s="230">
        <v>38</v>
      </c>
      <c r="AM52" s="230">
        <v>39</v>
      </c>
      <c r="AN52" s="230">
        <v>40</v>
      </c>
      <c r="AO52" s="230">
        <v>41</v>
      </c>
      <c r="AP52" s="230">
        <v>42</v>
      </c>
      <c r="AQ52" s="230">
        <v>43</v>
      </c>
      <c r="AR52" s="230">
        <v>44</v>
      </c>
      <c r="AS52" s="230">
        <v>45</v>
      </c>
      <c r="AT52" s="230">
        <v>46</v>
      </c>
      <c r="AU52" s="230">
        <v>47</v>
      </c>
      <c r="AV52" s="230">
        <v>48</v>
      </c>
      <c r="AW52" s="230">
        <v>49</v>
      </c>
      <c r="AX52" s="230">
        <v>50</v>
      </c>
      <c r="AY52" s="230">
        <v>51</v>
      </c>
      <c r="AZ52" s="230">
        <v>52</v>
      </c>
      <c r="BA52" s="230">
        <v>53</v>
      </c>
      <c r="BB52" s="230">
        <v>54</v>
      </c>
      <c r="BC52" s="230">
        <v>55</v>
      </c>
      <c r="BD52" s="230">
        <v>56</v>
      </c>
      <c r="BE52" s="230">
        <v>57</v>
      </c>
      <c r="BF52" s="230">
        <v>58</v>
      </c>
      <c r="BG52" s="230">
        <v>59</v>
      </c>
      <c r="BH52" s="230">
        <v>60</v>
      </c>
      <c r="BI52" s="230">
        <v>61</v>
      </c>
      <c r="BJ52" s="230">
        <v>62</v>
      </c>
      <c r="BK52" s="230">
        <v>63</v>
      </c>
      <c r="BL52" s="230">
        <v>64</v>
      </c>
      <c r="BM52" s="230">
        <v>65</v>
      </c>
      <c r="BN52" s="230">
        <v>66</v>
      </c>
      <c r="BO52" s="230">
        <v>67</v>
      </c>
      <c r="BP52" s="230">
        <v>68</v>
      </c>
      <c r="BQ52" s="230">
        <v>69</v>
      </c>
      <c r="BR52" s="230">
        <v>70</v>
      </c>
      <c r="BS52" s="230">
        <v>71</v>
      </c>
      <c r="BT52" s="230">
        <v>72</v>
      </c>
      <c r="BU52" s="230">
        <v>73</v>
      </c>
      <c r="BV52" s="230">
        <v>74</v>
      </c>
      <c r="BW52" s="230">
        <v>75</v>
      </c>
      <c r="BX52" s="230">
        <v>76</v>
      </c>
      <c r="BY52" s="230">
        <v>77</v>
      </c>
      <c r="BZ52" s="230">
        <v>78</v>
      </c>
      <c r="CA52" s="230">
        <v>79</v>
      </c>
      <c r="CB52" s="230">
        <v>80</v>
      </c>
      <c r="CC52" s="230">
        <v>81</v>
      </c>
      <c r="CD52" s="230">
        <v>82</v>
      </c>
      <c r="CE52" s="230">
        <v>83</v>
      </c>
      <c r="CF52" s="230">
        <v>84</v>
      </c>
      <c r="CG52" s="230">
        <v>85</v>
      </c>
      <c r="CH52" s="230">
        <v>86</v>
      </c>
      <c r="CI52" s="230">
        <v>87</v>
      </c>
      <c r="CJ52" s="230">
        <v>88</v>
      </c>
      <c r="CK52" s="230">
        <v>89</v>
      </c>
      <c r="CL52" s="230">
        <v>90</v>
      </c>
      <c r="CM52" s="230">
        <v>91</v>
      </c>
      <c r="CN52" s="230">
        <v>92</v>
      </c>
      <c r="CO52" s="230">
        <v>93</v>
      </c>
      <c r="CP52" s="230">
        <v>94</v>
      </c>
      <c r="CQ52" s="230">
        <v>95</v>
      </c>
      <c r="CR52" s="230">
        <v>96</v>
      </c>
      <c r="CS52" s="230">
        <v>97</v>
      </c>
      <c r="CT52" s="230">
        <v>98</v>
      </c>
      <c r="CU52" s="230">
        <v>99</v>
      </c>
      <c r="CV52" s="230">
        <v>100</v>
      </c>
      <c r="CW52" s="230">
        <v>101</v>
      </c>
      <c r="CX52" s="230">
        <v>102</v>
      </c>
      <c r="CY52" s="230">
        <v>103</v>
      </c>
      <c r="CZ52" s="230">
        <v>104</v>
      </c>
      <c r="DA52" s="230">
        <v>105</v>
      </c>
      <c r="DB52" s="230">
        <v>106</v>
      </c>
      <c r="DC52" s="230">
        <v>107</v>
      </c>
      <c r="DD52" s="230">
        <v>108</v>
      </c>
      <c r="DE52" s="230">
        <v>109</v>
      </c>
      <c r="DF52" s="230">
        <v>110</v>
      </c>
      <c r="DG52" s="230">
        <v>111</v>
      </c>
      <c r="DH52" s="230">
        <v>112</v>
      </c>
      <c r="DI52" s="230">
        <v>113</v>
      </c>
      <c r="DJ52" s="230">
        <v>114</v>
      </c>
      <c r="DK52" s="230">
        <v>115</v>
      </c>
      <c r="DL52" s="230">
        <v>116</v>
      </c>
      <c r="DM52" s="230">
        <v>117</v>
      </c>
      <c r="DN52" s="230">
        <v>118</v>
      </c>
      <c r="DO52" s="230">
        <v>119</v>
      </c>
      <c r="DP52" s="230">
        <v>120</v>
      </c>
      <c r="DQ52" s="230">
        <v>121</v>
      </c>
      <c r="DR52" s="230">
        <v>122</v>
      </c>
      <c r="DS52" s="230">
        <v>123</v>
      </c>
      <c r="DT52" s="230">
        <v>124</v>
      </c>
      <c r="DU52" s="230">
        <v>125</v>
      </c>
      <c r="DV52" s="230">
        <v>126</v>
      </c>
      <c r="DW52" s="230">
        <v>127</v>
      </c>
      <c r="DX52" s="230">
        <v>128</v>
      </c>
      <c r="DY52" s="230">
        <v>129</v>
      </c>
      <c r="DZ52" s="230">
        <v>130</v>
      </c>
      <c r="EA52" s="230">
        <v>131</v>
      </c>
      <c r="EB52" s="230">
        <v>132</v>
      </c>
      <c r="EC52" s="230">
        <v>133</v>
      </c>
      <c r="ED52" s="230">
        <v>134</v>
      </c>
      <c r="EE52" s="230">
        <v>135</v>
      </c>
      <c r="EF52" s="230">
        <v>136</v>
      </c>
      <c r="EG52" s="230">
        <v>137</v>
      </c>
      <c r="EH52" s="230">
        <v>138</v>
      </c>
      <c r="EI52" s="230">
        <v>139</v>
      </c>
      <c r="EJ52" s="230">
        <v>140</v>
      </c>
      <c r="EK52" s="230">
        <v>141</v>
      </c>
      <c r="EL52" s="230">
        <v>142</v>
      </c>
      <c r="EM52" s="230">
        <v>143</v>
      </c>
      <c r="EN52" s="230">
        <v>144</v>
      </c>
      <c r="EO52" s="230">
        <v>145</v>
      </c>
      <c r="EP52" s="230">
        <v>146</v>
      </c>
      <c r="EQ52" s="230">
        <v>147</v>
      </c>
      <c r="ER52" s="230">
        <v>148</v>
      </c>
      <c r="ES52" s="230">
        <v>149</v>
      </c>
      <c r="ET52" s="230">
        <v>150</v>
      </c>
      <c r="EU52" s="230">
        <v>151</v>
      </c>
      <c r="EV52" s="230">
        <v>152</v>
      </c>
      <c r="EW52" s="230">
        <v>153</v>
      </c>
      <c r="EX52" s="230">
        <v>154</v>
      </c>
      <c r="EY52" s="230">
        <v>155</v>
      </c>
      <c r="EZ52" s="230">
        <v>156</v>
      </c>
      <c r="FA52" s="230">
        <v>157</v>
      </c>
      <c r="FB52" s="230">
        <v>158</v>
      </c>
      <c r="FC52" s="230">
        <v>159</v>
      </c>
      <c r="FD52" s="230">
        <v>160</v>
      </c>
      <c r="FE52" s="230">
        <v>161</v>
      </c>
      <c r="FF52" s="230">
        <v>162</v>
      </c>
      <c r="FG52" s="230">
        <v>163</v>
      </c>
      <c r="FH52" s="230">
        <v>164</v>
      </c>
      <c r="FI52" s="230">
        <v>165</v>
      </c>
      <c r="FJ52" s="230">
        <v>166</v>
      </c>
      <c r="FK52" s="230">
        <v>167</v>
      </c>
      <c r="FL52" s="230">
        <v>168</v>
      </c>
      <c r="FM52" s="230">
        <v>169</v>
      </c>
      <c r="FN52" s="230">
        <v>170</v>
      </c>
      <c r="FO52" s="230">
        <v>171</v>
      </c>
      <c r="FP52" s="230">
        <v>172</v>
      </c>
      <c r="FQ52" s="230">
        <v>173</v>
      </c>
      <c r="FR52" s="230">
        <v>174</v>
      </c>
      <c r="FS52" s="230">
        <v>175</v>
      </c>
      <c r="FT52" s="230">
        <v>176</v>
      </c>
      <c r="FU52" s="230">
        <v>177</v>
      </c>
      <c r="FV52" s="230">
        <v>178</v>
      </c>
      <c r="FW52" s="230">
        <v>179</v>
      </c>
      <c r="FX52" s="230">
        <v>180</v>
      </c>
      <c r="FY52" s="230">
        <v>181</v>
      </c>
      <c r="FZ52" s="230">
        <v>182</v>
      </c>
      <c r="GA52" s="230">
        <v>183</v>
      </c>
      <c r="GB52" s="230">
        <v>184</v>
      </c>
      <c r="GC52" s="230">
        <v>185</v>
      </c>
      <c r="GD52" s="230">
        <v>186</v>
      </c>
      <c r="GE52" s="230">
        <v>187</v>
      </c>
      <c r="GF52" s="230">
        <v>188</v>
      </c>
      <c r="GG52" s="230">
        <v>189</v>
      </c>
      <c r="GH52" s="230">
        <v>190</v>
      </c>
      <c r="GI52" s="230">
        <v>191</v>
      </c>
      <c r="GJ52" s="230">
        <v>192</v>
      </c>
      <c r="GK52" s="230">
        <v>193</v>
      </c>
      <c r="GL52" s="230">
        <v>194</v>
      </c>
      <c r="GM52" s="230">
        <v>195</v>
      </c>
      <c r="GN52" s="230">
        <v>196</v>
      </c>
      <c r="GO52" s="230">
        <v>197</v>
      </c>
      <c r="GP52" s="230">
        <v>198</v>
      </c>
      <c r="GQ52" s="230">
        <v>199</v>
      </c>
      <c r="GR52" s="230">
        <v>200</v>
      </c>
      <c r="GS52" s="230">
        <v>201</v>
      </c>
      <c r="GT52" s="230">
        <v>202</v>
      </c>
      <c r="GU52" s="230">
        <v>203</v>
      </c>
      <c r="GV52" s="230">
        <v>204</v>
      </c>
      <c r="GW52" s="230">
        <v>205</v>
      </c>
      <c r="GX52" s="230">
        <v>206</v>
      </c>
      <c r="GY52" s="230">
        <v>207</v>
      </c>
      <c r="GZ52" s="230">
        <v>208</v>
      </c>
      <c r="HA52" s="230">
        <v>209</v>
      </c>
      <c r="HB52" s="230">
        <v>210</v>
      </c>
      <c r="HC52" s="230">
        <v>211</v>
      </c>
      <c r="HD52" s="230">
        <v>212</v>
      </c>
      <c r="HE52" s="230">
        <v>213</v>
      </c>
      <c r="HF52" s="230">
        <v>214</v>
      </c>
      <c r="HG52" s="230">
        <v>215</v>
      </c>
      <c r="HH52" s="230">
        <v>216</v>
      </c>
      <c r="HI52" s="230">
        <v>217</v>
      </c>
      <c r="HJ52" s="230">
        <v>218</v>
      </c>
      <c r="HK52" s="230">
        <v>219</v>
      </c>
      <c r="HL52" s="230">
        <v>220</v>
      </c>
      <c r="HM52" s="230">
        <v>221</v>
      </c>
      <c r="HN52" s="230">
        <v>222</v>
      </c>
      <c r="HO52" s="230">
        <v>223</v>
      </c>
      <c r="HP52" s="230">
        <v>224</v>
      </c>
      <c r="HQ52" s="230">
        <v>225</v>
      </c>
      <c r="HR52" s="230">
        <v>226</v>
      </c>
      <c r="HS52" s="230">
        <v>227</v>
      </c>
      <c r="HT52" s="230">
        <v>228</v>
      </c>
      <c r="HU52" s="230">
        <v>229</v>
      </c>
      <c r="HV52" s="230">
        <v>230</v>
      </c>
      <c r="HW52" s="230">
        <v>231</v>
      </c>
      <c r="HX52" s="230">
        <v>232</v>
      </c>
      <c r="HY52" s="230">
        <v>233</v>
      </c>
      <c r="HZ52" s="230">
        <v>234</v>
      </c>
      <c r="IA52" s="230">
        <v>235</v>
      </c>
      <c r="IB52" s="230">
        <v>236</v>
      </c>
      <c r="IC52" s="230">
        <v>237</v>
      </c>
      <c r="ID52" s="230">
        <v>238</v>
      </c>
      <c r="IE52" s="230">
        <v>239</v>
      </c>
      <c r="IF52" s="230">
        <v>240</v>
      </c>
      <c r="IG52" s="230">
        <v>241</v>
      </c>
      <c r="IH52" s="230">
        <v>242</v>
      </c>
      <c r="II52" s="230">
        <v>243</v>
      </c>
      <c r="IJ52" s="230">
        <v>244</v>
      </c>
      <c r="IK52" s="230">
        <v>245</v>
      </c>
      <c r="IL52" s="230">
        <v>246</v>
      </c>
      <c r="IM52" s="230">
        <v>247</v>
      </c>
      <c r="IN52" s="230">
        <v>248</v>
      </c>
      <c r="IO52" s="230">
        <v>249</v>
      </c>
      <c r="IP52" s="230">
        <v>250</v>
      </c>
      <c r="IQ52" s="230">
        <v>251</v>
      </c>
      <c r="IR52" s="230">
        <v>252</v>
      </c>
      <c r="IS52" s="230">
        <v>253</v>
      </c>
      <c r="IT52" s="230">
        <v>254</v>
      </c>
      <c r="IU52" s="230">
        <v>255</v>
      </c>
      <c r="IV52" s="230">
        <v>256</v>
      </c>
    </row>
    <row r="53" spans="1:256" s="80" customFormat="1" ht="13.5" thickBot="1">
      <c r="AB53" s="80" t="s">
        <v>531</v>
      </c>
      <c r="AC53" s="80">
        <v>0.3</v>
      </c>
      <c r="AD53" s="80">
        <v>-25</v>
      </c>
      <c r="BZ53" s="80">
        <v>20</v>
      </c>
      <c r="EF53" s="80">
        <v>-1.5</v>
      </c>
    </row>
    <row r="54" spans="1:256" s="80" customFormat="1" ht="23.25">
      <c r="A54" s="222" t="s">
        <v>45</v>
      </c>
      <c r="B54" s="143"/>
      <c r="C54" s="143"/>
      <c r="AB54" s="80" t="s">
        <v>532</v>
      </c>
      <c r="AC54" s="80">
        <v>1</v>
      </c>
      <c r="AD54" s="80">
        <f>-2*AD53*AC53</f>
        <v>15</v>
      </c>
      <c r="BZ54" s="80">
        <v>-30</v>
      </c>
      <c r="EF54" s="80">
        <v>1</v>
      </c>
    </row>
    <row r="55" spans="1:256" s="80" customFormat="1">
      <c r="A55" s="285" t="s">
        <v>354</v>
      </c>
      <c r="B55" s="285"/>
      <c r="C55" s="285"/>
      <c r="D55" s="285"/>
      <c r="AD55" s="80">
        <f>AC54+AD53*AC53^2</f>
        <v>-1.25</v>
      </c>
      <c r="BZ55" s="80">
        <v>7</v>
      </c>
    </row>
    <row r="56" spans="1:256" s="80" customFormat="1">
      <c r="A56" s="286" t="s">
        <v>46</v>
      </c>
      <c r="B56" s="286"/>
      <c r="C56" s="286"/>
      <c r="D56" s="286"/>
    </row>
    <row r="57" spans="1:256" s="80" customFormat="1">
      <c r="A57" s="287" t="s">
        <v>371</v>
      </c>
      <c r="B57" s="287"/>
      <c r="C57" s="287"/>
      <c r="D57" s="287"/>
    </row>
    <row r="58" spans="1:256" s="80" customFormat="1"/>
    <row r="59" spans="1:256" s="80" customFormat="1"/>
    <row r="60" spans="1:256" s="80" customFormat="1"/>
    <row r="61" spans="1:256" s="80" customFormat="1"/>
    <row r="62" spans="1:256" s="80" customFormat="1"/>
    <row r="63" spans="1:256" s="80" customFormat="1"/>
    <row r="64" spans="1:256" s="80" customFormat="1"/>
    <row r="65" spans="94:97" s="80" customFormat="1"/>
    <row r="66" spans="94:97" s="80" customFormat="1"/>
    <row r="67" spans="94:97" s="80" customFormat="1"/>
    <row r="68" spans="94:97" s="80" customFormat="1"/>
    <row r="70" spans="94:97">
      <c r="CP70">
        <v>2</v>
      </c>
      <c r="CS70">
        <v>8</v>
      </c>
    </row>
    <row r="71" spans="94:97">
      <c r="CP71">
        <v>2</v>
      </c>
      <c r="CS71">
        <v>27</v>
      </c>
    </row>
    <row r="72" spans="94:97">
      <c r="CP72">
        <v>5</v>
      </c>
      <c r="CS72">
        <v>8</v>
      </c>
    </row>
    <row r="73" spans="94:97">
      <c r="CP73">
        <v>8</v>
      </c>
      <c r="CS73">
        <v>27</v>
      </c>
    </row>
    <row r="74" spans="94:97">
      <c r="CP74">
        <v>8</v>
      </c>
      <c r="CS74">
        <v>8</v>
      </c>
    </row>
    <row r="76" spans="94:97">
      <c r="CP76">
        <v>10</v>
      </c>
      <c r="CS76">
        <v>8</v>
      </c>
    </row>
    <row r="77" spans="94:97">
      <c r="CP77">
        <v>10</v>
      </c>
      <c r="CS77">
        <v>27</v>
      </c>
    </row>
    <row r="78" spans="94:97">
      <c r="CP78">
        <v>10</v>
      </c>
      <c r="CS78">
        <v>17.5</v>
      </c>
    </row>
    <row r="79" spans="94:97">
      <c r="CP79">
        <v>15</v>
      </c>
      <c r="CS79">
        <v>17.5</v>
      </c>
    </row>
    <row r="80" spans="94:97">
      <c r="CP80">
        <v>15</v>
      </c>
      <c r="CS80">
        <v>8</v>
      </c>
    </row>
    <row r="81" spans="94:97">
      <c r="CP81">
        <v>15</v>
      </c>
      <c r="CS81">
        <v>27</v>
      </c>
    </row>
    <row r="83" spans="94:97">
      <c r="CP83">
        <v>17</v>
      </c>
      <c r="CS83">
        <v>27</v>
      </c>
    </row>
    <row r="84" spans="94:97">
      <c r="CP84">
        <v>19</v>
      </c>
      <c r="CS84">
        <v>27</v>
      </c>
    </row>
    <row r="85" spans="94:97">
      <c r="CP85">
        <v>18</v>
      </c>
      <c r="CS85">
        <v>27</v>
      </c>
    </row>
    <row r="86" spans="94:97">
      <c r="CP86">
        <v>18</v>
      </c>
      <c r="CS86">
        <v>8</v>
      </c>
    </row>
    <row r="87" spans="94:97">
      <c r="CP87">
        <v>17</v>
      </c>
      <c r="CS87">
        <v>8</v>
      </c>
    </row>
    <row r="88" spans="94:97">
      <c r="CP88">
        <v>19</v>
      </c>
      <c r="CS88">
        <v>8</v>
      </c>
    </row>
  </sheetData>
  <mergeCells count="3">
    <mergeCell ref="A55:D55"/>
    <mergeCell ref="A56:D56"/>
    <mergeCell ref="A57:D57"/>
  </mergeCells>
  <phoneticPr fontId="2" type="noConversion"/>
  <pageMargins left="0.75" right="0.75" top="1" bottom="1" header="0.5" footer="0.5"/>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41"/>
  </sheetPr>
  <dimension ref="A1:ER69"/>
  <sheetViews>
    <sheetView workbookViewId="0">
      <selection sqref="A1:XFD2"/>
    </sheetView>
  </sheetViews>
  <sheetFormatPr defaultColWidth="8.85546875" defaultRowHeight="12.75"/>
  <sheetData>
    <row r="1" spans="1:148">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c r="S1" s="257" t="s">
        <v>450</v>
      </c>
      <c r="T1" s="257" t="s">
        <v>451</v>
      </c>
      <c r="V1" s="257" t="s">
        <v>452</v>
      </c>
      <c r="W1" s="257" t="s">
        <v>454</v>
      </c>
      <c r="X1" s="257" t="s">
        <v>455</v>
      </c>
      <c r="Y1" s="257" t="s">
        <v>453</v>
      </c>
      <c r="Z1" s="257" t="s">
        <v>456</v>
      </c>
      <c r="AA1" s="257" t="s">
        <v>457</v>
      </c>
      <c r="AC1" s="257" t="s">
        <v>458</v>
      </c>
      <c r="AD1" s="257" t="s">
        <v>459</v>
      </c>
      <c r="AE1" s="257" t="s">
        <v>460</v>
      </c>
      <c r="AF1" s="257" t="s">
        <v>461</v>
      </c>
      <c r="AG1" s="257" t="s">
        <v>462</v>
      </c>
      <c r="AH1" s="257" t="s">
        <v>463</v>
      </c>
      <c r="AJ1" s="257" t="s">
        <v>465</v>
      </c>
      <c r="AK1" s="257" t="s">
        <v>464</v>
      </c>
      <c r="AL1" s="257" t="s">
        <v>466</v>
      </c>
      <c r="AM1" s="257" t="s">
        <v>467</v>
      </c>
      <c r="AO1" s="257" t="s">
        <v>472</v>
      </c>
      <c r="AP1" s="257" t="s">
        <v>468</v>
      </c>
      <c r="AQ1" s="257" t="s">
        <v>469</v>
      </c>
      <c r="AR1" s="257" t="s">
        <v>470</v>
      </c>
      <c r="AS1" s="257" t="s">
        <v>471</v>
      </c>
      <c r="AT1" s="257" t="s">
        <v>474</v>
      </c>
      <c r="AU1" s="257" t="s">
        <v>473</v>
      </c>
      <c r="AV1" s="257" t="s">
        <v>475</v>
      </c>
      <c r="AW1" s="257" t="s">
        <v>476</v>
      </c>
      <c r="AY1" s="257" t="s">
        <v>477</v>
      </c>
      <c r="AZ1" s="257" t="s">
        <v>478</v>
      </c>
      <c r="BA1" s="257" t="s">
        <v>479</v>
      </c>
      <c r="BB1" s="257" t="s">
        <v>480</v>
      </c>
      <c r="BD1" s="257" t="s">
        <v>481</v>
      </c>
      <c r="BE1" s="257" t="s">
        <v>482</v>
      </c>
      <c r="BF1" s="257" t="s">
        <v>483</v>
      </c>
      <c r="BG1" s="257" t="s">
        <v>484</v>
      </c>
      <c r="BI1" s="257" t="s">
        <v>589</v>
      </c>
      <c r="BJ1" s="258" t="s">
        <v>590</v>
      </c>
      <c r="BL1" s="257" t="s">
        <v>505</v>
      </c>
      <c r="BM1" s="257" t="s">
        <v>506</v>
      </c>
      <c r="BO1" s="257" t="s">
        <v>587</v>
      </c>
      <c r="BP1" s="258" t="s">
        <v>588</v>
      </c>
      <c r="BR1" s="257" t="s">
        <v>571</v>
      </c>
      <c r="BS1" s="258" t="s">
        <v>572</v>
      </c>
      <c r="BU1" s="257" t="s">
        <v>511</v>
      </c>
      <c r="BV1" s="257" t="s">
        <v>512</v>
      </c>
      <c r="BX1" s="257" t="s">
        <v>573</v>
      </c>
      <c r="BZ1" s="12" t="s">
        <v>523</v>
      </c>
      <c r="CB1" s="12" t="s">
        <v>525</v>
      </c>
      <c r="CC1" s="12" t="s">
        <v>526</v>
      </c>
      <c r="CD1" s="12" t="s">
        <v>527</v>
      </c>
      <c r="CE1" s="12" t="s">
        <v>528</v>
      </c>
      <c r="CF1" s="12" t="s">
        <v>529</v>
      </c>
      <c r="CG1" s="12" t="s">
        <v>530</v>
      </c>
      <c r="CI1" t="s">
        <v>534</v>
      </c>
      <c r="CJ1" t="s">
        <v>535</v>
      </c>
      <c r="CK1" s="256" t="s">
        <v>539</v>
      </c>
      <c r="CL1" t="s">
        <v>536</v>
      </c>
      <c r="CN1" s="256" t="s">
        <v>574</v>
      </c>
      <c r="CO1" s="256" t="s">
        <v>567</v>
      </c>
      <c r="CP1" s="257" t="s">
        <v>568</v>
      </c>
      <c r="CQ1" s="257" t="s">
        <v>569</v>
      </c>
      <c r="CR1" s="257" t="s">
        <v>580</v>
      </c>
      <c r="CT1" s="257" t="s">
        <v>538</v>
      </c>
      <c r="CU1" s="257" t="s">
        <v>565</v>
      </c>
      <c r="CW1" s="256" t="s">
        <v>545</v>
      </c>
      <c r="CY1" s="256" t="s">
        <v>546</v>
      </c>
      <c r="DA1" s="257" t="s">
        <v>547</v>
      </c>
      <c r="DB1" s="257" t="s">
        <v>548</v>
      </c>
      <c r="DC1" s="257" t="s">
        <v>549</v>
      </c>
      <c r="DD1" s="257" t="s">
        <v>550</v>
      </c>
      <c r="DE1" s="257" t="s">
        <v>551</v>
      </c>
      <c r="DF1" s="257" t="s">
        <v>552</v>
      </c>
      <c r="DH1" s="257" t="s">
        <v>553</v>
      </c>
      <c r="DI1" s="257" t="s">
        <v>554</v>
      </c>
      <c r="DJ1" s="257" t="s">
        <v>555</v>
      </c>
      <c r="DL1" s="257" t="s">
        <v>560</v>
      </c>
      <c r="DM1" s="257" t="s">
        <v>557</v>
      </c>
      <c r="DN1" s="257" t="s">
        <v>558</v>
      </c>
      <c r="DO1" s="257" t="s">
        <v>559</v>
      </c>
      <c r="DP1" s="257" t="s">
        <v>561</v>
      </c>
      <c r="DQ1" s="257" t="s">
        <v>576</v>
      </c>
      <c r="DS1" s="256" t="s">
        <v>564</v>
      </c>
      <c r="DU1" s="256" t="s">
        <v>566</v>
      </c>
      <c r="DW1" s="256" t="s">
        <v>577</v>
      </c>
      <c r="DX1" s="256" t="s">
        <v>578</v>
      </c>
      <c r="DY1" s="256" t="s">
        <v>579</v>
      </c>
      <c r="EA1" s="260" t="s">
        <v>581</v>
      </c>
      <c r="EB1" t="s">
        <v>582</v>
      </c>
      <c r="EC1" s="256" t="s">
        <v>596</v>
      </c>
      <c r="ED1" s="257" t="s">
        <v>599</v>
      </c>
      <c r="EE1" s="256" t="s">
        <v>591</v>
      </c>
      <c r="EF1" s="256" t="s">
        <v>598</v>
      </c>
      <c r="EH1" s="257" t="s">
        <v>597</v>
      </c>
      <c r="EJ1" s="256" t="s">
        <v>597</v>
      </c>
      <c r="EK1" s="256" t="s">
        <v>597</v>
      </c>
      <c r="EL1" s="256" t="s">
        <v>592</v>
      </c>
      <c r="EM1" s="256" t="s">
        <v>593</v>
      </c>
      <c r="EN1" s="256" t="s">
        <v>595</v>
      </c>
      <c r="EO1" s="256" t="s">
        <v>602</v>
      </c>
      <c r="EQ1" s="256" t="s">
        <v>603</v>
      </c>
      <c r="ER1" s="256" t="s">
        <v>604</v>
      </c>
    </row>
    <row r="2" spans="1:148">
      <c r="A2">
        <v>60</v>
      </c>
      <c r="B2">
        <v>2</v>
      </c>
      <c r="C2" t="s">
        <v>515</v>
      </c>
      <c r="D2">
        <v>2.3999999999999998E-3</v>
      </c>
      <c r="E2">
        <v>0.01</v>
      </c>
      <c r="F2">
        <v>0.06</v>
      </c>
      <c r="G2">
        <v>0</v>
      </c>
      <c r="I2">
        <v>0</v>
      </c>
      <c r="J2">
        <v>0</v>
      </c>
      <c r="K2">
        <v>13.4</v>
      </c>
      <c r="L2">
        <v>5.3</v>
      </c>
      <c r="M2">
        <v>0.47199999999999998</v>
      </c>
      <c r="N2">
        <v>1.0640000000000001</v>
      </c>
      <c r="O2">
        <v>5</v>
      </c>
      <c r="P2">
        <v>2.5</v>
      </c>
      <c r="Q2">
        <v>8.9999999999999993E-3</v>
      </c>
      <c r="S2" s="12">
        <f>A2-O2</f>
        <v>55</v>
      </c>
      <c r="T2" s="12">
        <f>A2-P2</f>
        <v>57.5</v>
      </c>
      <c r="V2" s="12">
        <f>S2+I2</f>
        <v>55</v>
      </c>
      <c r="W2" s="12">
        <f>V2+K2/2</f>
        <v>61.7</v>
      </c>
      <c r="X2" s="12">
        <f>V2-K2/2</f>
        <v>48.3</v>
      </c>
      <c r="Y2" s="12">
        <f>V2-J2</f>
        <v>55</v>
      </c>
      <c r="Z2" s="12">
        <f>Y2-L2/2</f>
        <v>52.35</v>
      </c>
      <c r="AA2" s="12">
        <f>Y2+L2/2</f>
        <v>57.65</v>
      </c>
      <c r="AC2" s="12">
        <f>$A2-V2</f>
        <v>5</v>
      </c>
      <c r="AD2" s="12">
        <f>$A2-W2</f>
        <v>-1.7000000000000028</v>
      </c>
      <c r="AE2" s="12">
        <f>$A2-X2</f>
        <v>11.700000000000003</v>
      </c>
      <c r="AF2" s="12">
        <f>$T2-Y2</f>
        <v>2.5</v>
      </c>
      <c r="AG2" s="12">
        <f>$T2-Z2</f>
        <v>5.1499999999999986</v>
      </c>
      <c r="AH2" s="12">
        <f>$T2-AA2</f>
        <v>-0.14999999999999858</v>
      </c>
      <c r="AJ2" s="12">
        <f>IF(SIN(S2*PI()/180)/B2&gt;1,1,IF(SIN(S2*PI()/180)/B2&lt;0,0,SIN(S2*PI()/180)/B2))</f>
        <v>0.4095760221444959</v>
      </c>
      <c r="AK2" s="12">
        <f>1-AJ2</f>
        <v>0.59042397785550405</v>
      </c>
      <c r="AL2" s="12">
        <f>IF(AK2=0,0,(360/PI())*ASIN(M2*(N2-1)/(2*AK2*B2)))</f>
        <v>1.4657586498862054</v>
      </c>
      <c r="AM2" s="12">
        <f>AK2*B2/M2</f>
        <v>2.5017965163368818</v>
      </c>
      <c r="AO2" s="12">
        <f>180/PI()</f>
        <v>57.295779513082323</v>
      </c>
      <c r="AP2" s="12">
        <f>COS($A2/$AO2)/COS(Y2/$AO2)</f>
        <v>0.87172339781054908</v>
      </c>
      <c r="AQ2" s="12">
        <f>COS($A2/$AO2)/COS(Z2/$AO2)</f>
        <v>0.81854986622659942</v>
      </c>
      <c r="AR2" s="12">
        <f>COS($A2/$AO2)/COS(AA2/$AO2)</f>
        <v>0.93442263801359693</v>
      </c>
      <c r="AS2" s="12">
        <f>COS($A2/$AO2)/COS(T2/$AO2)</f>
        <v>0.9305794983517891</v>
      </c>
      <c r="AT2" s="12">
        <f>SIN($A2/$AO2)-SIN(Y2/$AO2)*AP2</f>
        <v>0.15195140041338129</v>
      </c>
      <c r="AU2" s="12">
        <f>SIN($A2/$AO2)-SIN(Z2/$AO2)*AQ2</f>
        <v>0.21793290768563045</v>
      </c>
      <c r="AV2" s="12">
        <f>SIN($A2/$AO2)-SIN(AA2/$AO2)*AR2</f>
        <v>7.6629643451074814E-2</v>
      </c>
      <c r="AW2" s="12">
        <f>SIN($A2/$AO2)-SIN(T2/$AO2)*AS2</f>
        <v>8.1182615225693255E-2</v>
      </c>
      <c r="AY2" s="12">
        <f>1-AP2+0.5*AT2/$B2</f>
        <v>0.16626445229279624</v>
      </c>
      <c r="AZ2" s="12">
        <f>1-AQ2+0.5*AU2/$B2</f>
        <v>0.23593336069480819</v>
      </c>
      <c r="BA2" s="12">
        <f>1-AR2+0.5*AV2/$B2</f>
        <v>8.4734772849171774E-2</v>
      </c>
      <c r="BB2" s="12">
        <f>1-AS2+0.5*AW2/$B2</f>
        <v>8.9716155454634211E-2</v>
      </c>
      <c r="BD2" s="12">
        <f>1-AP2^2</f>
        <v>0.24009831770963119</v>
      </c>
      <c r="BE2" s="12">
        <f>1-AQ2^2</f>
        <v>0.32997611650041614</v>
      </c>
      <c r="BF2" s="12">
        <f>1-AR2^2</f>
        <v>0.12685433356771036</v>
      </c>
      <c r="BG2" s="12">
        <f>1-AS2^2</f>
        <v>0.13402179724733254</v>
      </c>
      <c r="BI2" s="12">
        <f>EO2-(EO2-EF2)*EXP(EN2*EB2)</f>
        <v>0.29917465640529572</v>
      </c>
      <c r="BJ2" s="259">
        <f>AD2-BI2</f>
        <v>-1.9991746564052986</v>
      </c>
      <c r="BL2" s="12">
        <f>W2-Z2</f>
        <v>9.3500000000000014</v>
      </c>
      <c r="BM2" s="12">
        <f>X2-AA2</f>
        <v>-9.3500000000000014</v>
      </c>
      <c r="BO2" s="12">
        <f>DO2*(2-0.00527*(BL2-45)^2)</f>
        <v>-4.0683808648723954</v>
      </c>
      <c r="BP2" s="12">
        <f>BJ2-BO2</f>
        <v>2.0692062084670968</v>
      </c>
      <c r="BR2" s="12">
        <f>IF(B2&gt;1.25,0,5*(B2-1.25))</f>
        <v>0</v>
      </c>
      <c r="BS2" s="259">
        <f>IF(B2&lt;0.4,O2-DU2,BP2-BR2)</f>
        <v>2.0692062084670968</v>
      </c>
      <c r="BU2" s="12">
        <f>D2/$F2</f>
        <v>0.04</v>
      </c>
      <c r="BV2" s="12">
        <f>E2/$F2</f>
        <v>0.16666666666666669</v>
      </c>
      <c r="BX2" s="12">
        <f>BI2+BO2+BR2</f>
        <v>-3.7692062084670996</v>
      </c>
      <c r="BZ2" s="12">
        <f>(AC2+AD2)/2</f>
        <v>1.6499999999999986</v>
      </c>
      <c r="CB2" s="12">
        <f>BL2*AJ2</f>
        <v>3.829535807051037</v>
      </c>
      <c r="CC2" s="12">
        <f>BL2*AK2</f>
        <v>5.520464192948964</v>
      </c>
      <c r="CD2" s="12">
        <f>N2*M2</f>
        <v>0.50220799999999999</v>
      </c>
      <c r="CE2" s="12">
        <f>IF(B2&lt;0.1,2.5,SIN(S2*PI()/180)/B2)</f>
        <v>0.4095760221444959</v>
      </c>
      <c r="CF2" s="12">
        <f>B2*AK2</f>
        <v>1.1808479557110081</v>
      </c>
      <c r="CG2" s="12">
        <f>1/B2</f>
        <v>0.5</v>
      </c>
      <c r="CI2" s="12">
        <f>F2*B2/M2</f>
        <v>0.25423728813559321</v>
      </c>
      <c r="CJ2" s="12">
        <f>IF(B2&lt;0.1,1,M2/COS(A2/AO2))</f>
        <v>0.94399999999999973</v>
      </c>
      <c r="CK2" s="12">
        <f>IF(B2&lt;0.1,0,CT2-COS(A2/AO2))</f>
        <v>2.2079999999998767E-3</v>
      </c>
      <c r="CL2" s="12">
        <f>(CD2-COS(A2/AO2))*58</f>
        <v>0.12806399999999285</v>
      </c>
      <c r="CN2" s="12">
        <f>(O2-BX2)/(DU2-BX2)</f>
        <v>0.94605794835557033</v>
      </c>
      <c r="CO2" s="12">
        <f>IF(CE2&lt;1.25,0,IF(CE2&gt;2.5,1,0.8*(CE2-1.25)))</f>
        <v>0</v>
      </c>
      <c r="CP2" s="12">
        <f>BX2+CO2*(DU2-BX2)</f>
        <v>-3.7692062084670996</v>
      </c>
      <c r="CQ2" s="12">
        <f>O2-CP2</f>
        <v>8.7692062084671001</v>
      </c>
      <c r="CR2" s="12">
        <f>IF(Y2&lt;-10,NA(),CQ2)</f>
        <v>8.7692062084671001</v>
      </c>
      <c r="CT2" s="12">
        <f>IF(Z2&gt;0,CD2,CD2/COS(Z2/AO2))</f>
        <v>0.50220799999999999</v>
      </c>
      <c r="CU2" s="12">
        <f>DS2*CK2</f>
        <v>0.11039999999999384</v>
      </c>
      <c r="CW2" s="12">
        <f>SIN(CC2/AO2)</f>
        <v>9.6201269616400853E-2</v>
      </c>
      <c r="CY2" s="12">
        <f>Z2+CC2</f>
        <v>57.870464192948965</v>
      </c>
      <c r="DA2" s="12">
        <f>COS($CY2/$AO2)/COS(Y2/$AO2)</f>
        <v>0.92722637135002084</v>
      </c>
      <c r="DB2" s="12">
        <f>COS($CY2/$AO2)/COS(Z2/$AO2)</f>
        <v>0.87066725997789896</v>
      </c>
      <c r="DC2" s="12">
        <f>COS($CY2/$AO2)/COS(AA2/$AO2)</f>
        <v>0.99391769697681109</v>
      </c>
      <c r="DD2" s="12">
        <f>SIN($CY2/$AO2)-SIN(Y2/$AO2)*DA2</f>
        <v>8.73084968121145E-2</v>
      </c>
      <c r="DE2" s="12">
        <f>SIN($CY2/$AO2)-SIN(Z2/$AO2)*DB2</f>
        <v>0.15749107275066776</v>
      </c>
      <c r="DF2" s="12">
        <f>SIN($CY2/$AO2)-SIN(AA2/$AO2)*DC2</f>
        <v>7.1909737913019578E-3</v>
      </c>
      <c r="DH2" s="12">
        <f>1-DA2+0.5*DD2/$B2</f>
        <v>9.4600752853007786E-2</v>
      </c>
      <c r="DI2" s="12">
        <f>1-DB2+0.5*DE2/$B2</f>
        <v>0.16870550820976798</v>
      </c>
      <c r="DJ2" s="12">
        <f>1-DC2+0.5*DF2/$B2</f>
        <v>7.8800464710143958E-3</v>
      </c>
      <c r="DL2" s="12">
        <f>IF(B2&lt;0.1,NA(),(O2-5.49)/CK2)</f>
        <v>-221.92028985508495</v>
      </c>
      <c r="DM2" s="12">
        <f>COS(A2/AO2)</f>
        <v>0.50000000000000011</v>
      </c>
      <c r="DN2" s="12">
        <f>DM2/DO2</f>
        <v>0.57735026918962595</v>
      </c>
      <c r="DO2" s="12">
        <f>SIN(A2/AO2)</f>
        <v>0.8660254037844386</v>
      </c>
      <c r="DP2" s="12">
        <f>DO2-SIN(Z2/AO2)</f>
        <v>7.4268514144441355E-2</v>
      </c>
      <c r="DQ2" s="12">
        <f>1/DL2</f>
        <v>-4.5061224489793385E-3</v>
      </c>
      <c r="DS2" s="12">
        <f>IF(B2&lt;0.1,200,1/(0.035-0.03*DM2))</f>
        <v>50</v>
      </c>
      <c r="DU2" s="12">
        <f>5.5</f>
        <v>5.5</v>
      </c>
      <c r="DW2" s="12">
        <f>IF(B2&lt;0.1,0,ABS(DX2*DY2/AP2))</f>
        <v>0.17431148549531628</v>
      </c>
      <c r="DX2" s="12">
        <f>2/(COS((V2-I2)/AO2)*B2)</f>
        <v>1.7434467956210977</v>
      </c>
      <c r="DY2" s="12">
        <f>SIN((A2-Y2)/AO2)</f>
        <v>8.7155742747658166E-2</v>
      </c>
      <c r="EA2" s="12">
        <f>SQRT(B2*COS(A2/AO2))</f>
        <v>1</v>
      </c>
      <c r="EB2" s="12">
        <f>B2*COS(A2/AO2)</f>
        <v>1.0000000000000002</v>
      </c>
      <c r="EC2" s="12">
        <f xml:space="preserve"> EO2-AD2</f>
        <v>5.7000000000000028</v>
      </c>
      <c r="ED2" s="12">
        <f>EC2/(EO2-EF2)</f>
        <v>0.90814975481414395</v>
      </c>
      <c r="EE2" s="12">
        <f>LN(ED2)/EB2</f>
        <v>-9.6345985770595985E-2</v>
      </c>
      <c r="EF2" s="12">
        <f>73.5*COS(BL2/AO2)-74.8</f>
        <v>-2.2764978680928323</v>
      </c>
      <c r="EH2" s="12">
        <f>0</f>
        <v>0</v>
      </c>
      <c r="EJ2" s="12">
        <f>0</f>
        <v>0</v>
      </c>
      <c r="EK2" s="12">
        <f>0</f>
        <v>0</v>
      </c>
      <c r="EL2" s="257">
        <f>SIN(BL2/AO2)</f>
        <v>0.16246495353455651</v>
      </c>
      <c r="EM2" s="12">
        <f>COS(BL2/AO2)</f>
        <v>0.98671431471982529</v>
      </c>
      <c r="EN2" s="256">
        <f>0.00052*BL2*(BL2-118)</f>
        <v>-0.52825630000000001</v>
      </c>
      <c r="EO2">
        <f>4</f>
        <v>4</v>
      </c>
      <c r="EQ2">
        <f>(AD2-EF2*EXP(-EB2*ER2))/(1-EXP(-EB2*ER2))</f>
        <v>-1.3644916692101507</v>
      </c>
      <c r="ER2">
        <f>1</f>
        <v>1</v>
      </c>
    </row>
    <row r="3" spans="1:148">
      <c r="BG3" s="121"/>
    </row>
    <row r="4" spans="1:148">
      <c r="BG4" s="121"/>
    </row>
    <row r="5" spans="1:148">
      <c r="BG5" s="121"/>
    </row>
    <row r="6" spans="1:148">
      <c r="BG6" s="121"/>
    </row>
    <row r="7" spans="1:148">
      <c r="BG7" s="121"/>
    </row>
    <row r="8" spans="1:148">
      <c r="BG8" s="121"/>
    </row>
    <row r="9" spans="1:148">
      <c r="BG9" s="121"/>
    </row>
    <row r="10" spans="1:148">
      <c r="BG10" s="121"/>
    </row>
    <row r="11" spans="1:148">
      <c r="BG11" s="121"/>
    </row>
    <row r="12" spans="1:148">
      <c r="BG12" s="121"/>
    </row>
    <row r="13" spans="1:148">
      <c r="BG13" s="121"/>
    </row>
    <row r="14" spans="1:148">
      <c r="BG14" s="121"/>
    </row>
    <row r="15" spans="1:148">
      <c r="BG15" s="121"/>
    </row>
    <row r="16" spans="1:148">
      <c r="BG16" s="121"/>
    </row>
    <row r="17" spans="59:59">
      <c r="BG17" s="121"/>
    </row>
    <row r="18" spans="59:59">
      <c r="BG18" s="121"/>
    </row>
    <row r="19" spans="59:59">
      <c r="BG19" s="121"/>
    </row>
    <row r="20" spans="59:59">
      <c r="BG20" s="121"/>
    </row>
    <row r="21" spans="59:59">
      <c r="BG21" s="121"/>
    </row>
    <row r="22" spans="59:59">
      <c r="BG22" s="121"/>
    </row>
    <row r="23" spans="59:59">
      <c r="BG23" s="121"/>
    </row>
    <row r="24" spans="59:59">
      <c r="BG24" s="121"/>
    </row>
    <row r="25" spans="59:59">
      <c r="BG25" s="121"/>
    </row>
    <row r="26" spans="59:59">
      <c r="BG26" s="121"/>
    </row>
    <row r="27" spans="59:59">
      <c r="BG27" s="121"/>
    </row>
    <row r="28" spans="59:59">
      <c r="BG28" s="121"/>
    </row>
    <row r="29" spans="59:59">
      <c r="BG29" s="121"/>
    </row>
    <row r="30" spans="59:59">
      <c r="BG30" s="121"/>
    </row>
    <row r="31" spans="59:59">
      <c r="BG31" s="121"/>
    </row>
    <row r="32" spans="59:59">
      <c r="BG32" s="121"/>
    </row>
    <row r="33" spans="59:59">
      <c r="BG33" s="121"/>
    </row>
    <row r="34" spans="59:59">
      <c r="BG34" s="121"/>
    </row>
    <row r="35" spans="59:59">
      <c r="BG35" s="121"/>
    </row>
    <row r="36" spans="59:59">
      <c r="BG36" s="121"/>
    </row>
    <row r="37" spans="59:59">
      <c r="BG37" s="121"/>
    </row>
    <row r="38" spans="59:59">
      <c r="BG38" s="121"/>
    </row>
    <row r="39" spans="59:59">
      <c r="BG39" s="121"/>
    </row>
    <row r="40" spans="59:59">
      <c r="BG40" s="121"/>
    </row>
    <row r="41" spans="59:59">
      <c r="BG41" s="121"/>
    </row>
    <row r="42" spans="59:59">
      <c r="BG42" s="121"/>
    </row>
    <row r="43" spans="59:59">
      <c r="BG43" s="121"/>
    </row>
    <row r="44" spans="59:59">
      <c r="BG44" s="121"/>
    </row>
    <row r="45" spans="59:59">
      <c r="BG45" s="121"/>
    </row>
    <row r="46" spans="59:59">
      <c r="BG46" s="121"/>
    </row>
    <row r="47" spans="59:59">
      <c r="BG47" s="121"/>
    </row>
    <row r="48" spans="59:59">
      <c r="BG48" s="121"/>
    </row>
    <row r="49" spans="59:59">
      <c r="BG49" s="121"/>
    </row>
    <row r="50" spans="59:59">
      <c r="BG50" s="121"/>
    </row>
    <row r="51" spans="59:59">
      <c r="BG51" s="121"/>
    </row>
    <row r="52" spans="59:59">
      <c r="BG52" s="121"/>
    </row>
    <row r="53" spans="59:59">
      <c r="BG53" s="121"/>
    </row>
    <row r="54" spans="59:59">
      <c r="BG54" s="121"/>
    </row>
    <row r="55" spans="59:59">
      <c r="BG55" s="121"/>
    </row>
    <row r="56" spans="59:59">
      <c r="BG56" s="121"/>
    </row>
    <row r="57" spans="59:59">
      <c r="BG57" s="121"/>
    </row>
    <row r="58" spans="59:59">
      <c r="BG58" s="121"/>
    </row>
    <row r="59" spans="59:59">
      <c r="BG59" s="121"/>
    </row>
    <row r="60" spans="59:59">
      <c r="BG60" s="121"/>
    </row>
    <row r="61" spans="59:59">
      <c r="BG61" s="121"/>
    </row>
    <row r="62" spans="59:59">
      <c r="BG62" s="121"/>
    </row>
    <row r="63" spans="59:59">
      <c r="BG63" s="121"/>
    </row>
    <row r="64" spans="59:59">
      <c r="BG64" s="121"/>
    </row>
    <row r="65" spans="59:59">
      <c r="BG65" s="121"/>
    </row>
    <row r="66" spans="59:59">
      <c r="BG66" s="121"/>
    </row>
    <row r="67" spans="59:59">
      <c r="BG67" s="121"/>
    </row>
    <row r="68" spans="59:59">
      <c r="BG68" s="121"/>
    </row>
    <row r="69" spans="59:59">
      <c r="BG69" s="121"/>
    </row>
  </sheetData>
  <phoneticPr fontId="2" type="noConversion"/>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enableFormatConditionsCalculation="0"/>
  <dimension ref="A1:Q16"/>
  <sheetViews>
    <sheetView workbookViewId="0">
      <selection activeCell="D7" sqref="D7"/>
    </sheetView>
  </sheetViews>
  <sheetFormatPr defaultColWidth="8.85546875" defaultRowHeight="12.75"/>
  <cols>
    <col min="1" max="8" width="15.7109375" customWidth="1"/>
  </cols>
  <sheetData>
    <row r="1" spans="1:17" ht="50.1" customHeight="1">
      <c r="A1" s="147">
        <v>1</v>
      </c>
      <c r="B1" s="30">
        <v>2</v>
      </c>
      <c r="C1" s="31">
        <v>3</v>
      </c>
      <c r="D1" s="32">
        <v>4</v>
      </c>
      <c r="E1" s="33">
        <v>5</v>
      </c>
      <c r="F1" s="34">
        <v>6</v>
      </c>
      <c r="G1" s="35">
        <v>7</v>
      </c>
      <c r="H1" s="36">
        <v>8</v>
      </c>
      <c r="I1" s="12"/>
      <c r="J1" s="12"/>
      <c r="K1" s="12"/>
      <c r="L1" s="12"/>
      <c r="M1" s="12"/>
      <c r="N1" s="12"/>
      <c r="O1" s="12"/>
      <c r="P1" s="12"/>
      <c r="Q1" s="12"/>
    </row>
    <row r="2" spans="1:17" ht="50.1" customHeight="1">
      <c r="A2" s="37">
        <v>9</v>
      </c>
      <c r="B2" s="38">
        <v>10</v>
      </c>
      <c r="C2" s="149">
        <v>11</v>
      </c>
      <c r="D2" s="39">
        <v>12</v>
      </c>
      <c r="E2" s="40">
        <v>13</v>
      </c>
      <c r="F2" s="41">
        <v>14</v>
      </c>
      <c r="G2" s="42">
        <v>15</v>
      </c>
      <c r="H2" s="43">
        <v>16</v>
      </c>
      <c r="I2" s="12"/>
      <c r="J2" s="12"/>
      <c r="K2" s="12"/>
      <c r="L2" s="12"/>
      <c r="M2" s="12"/>
      <c r="N2" s="12"/>
      <c r="O2" s="12"/>
      <c r="P2" s="12"/>
      <c r="Q2" s="12"/>
    </row>
    <row r="3" spans="1:17" ht="50.1" customHeight="1">
      <c r="A3" s="44">
        <v>17</v>
      </c>
      <c r="B3" s="45">
        <v>18</v>
      </c>
      <c r="C3" s="46">
        <v>19</v>
      </c>
      <c r="D3" s="47">
        <v>20</v>
      </c>
      <c r="E3" s="48">
        <v>21</v>
      </c>
      <c r="F3" s="49">
        <v>22</v>
      </c>
      <c r="G3" s="50">
        <v>23</v>
      </c>
      <c r="H3" s="51">
        <v>24</v>
      </c>
      <c r="I3" s="12"/>
      <c r="J3" s="12"/>
      <c r="K3" s="12"/>
      <c r="L3" s="12"/>
      <c r="M3" s="12"/>
      <c r="N3" s="12"/>
      <c r="O3" s="12"/>
      <c r="P3" s="12"/>
      <c r="Q3" s="12"/>
    </row>
    <row r="4" spans="1:17" ht="50.1" customHeight="1">
      <c r="A4" s="150">
        <v>25</v>
      </c>
      <c r="B4" s="52">
        <v>26</v>
      </c>
      <c r="C4" s="53">
        <v>27</v>
      </c>
      <c r="D4" s="54">
        <v>28</v>
      </c>
      <c r="E4" s="55">
        <v>29</v>
      </c>
      <c r="F4" s="56">
        <v>30</v>
      </c>
      <c r="G4" s="57">
        <v>31</v>
      </c>
      <c r="H4" s="58">
        <v>32</v>
      </c>
      <c r="I4" s="12"/>
      <c r="J4" s="12"/>
      <c r="K4" s="12"/>
      <c r="L4" s="12"/>
      <c r="M4" s="12"/>
      <c r="N4" s="12"/>
      <c r="O4" s="12"/>
      <c r="P4" s="12"/>
      <c r="Q4" s="12"/>
    </row>
    <row r="5" spans="1:17" ht="50.1" customHeight="1">
      <c r="A5" s="59">
        <v>33</v>
      </c>
      <c r="B5" s="60">
        <v>34</v>
      </c>
      <c r="C5" s="61">
        <v>35</v>
      </c>
      <c r="D5" s="62">
        <v>36</v>
      </c>
      <c r="E5" s="63">
        <v>37</v>
      </c>
      <c r="F5" s="64">
        <v>38</v>
      </c>
      <c r="G5" s="65">
        <v>39</v>
      </c>
      <c r="H5" s="66">
        <v>40</v>
      </c>
      <c r="I5" s="12"/>
      <c r="J5" s="12"/>
      <c r="K5" s="12"/>
      <c r="L5" s="12"/>
      <c r="M5" s="12"/>
      <c r="N5" s="12"/>
      <c r="O5" s="12"/>
      <c r="P5" s="12"/>
      <c r="Q5" s="12"/>
    </row>
    <row r="6" spans="1:17" ht="50.1" customHeight="1">
      <c r="A6" s="67">
        <v>41</v>
      </c>
      <c r="B6" s="68">
        <v>42</v>
      </c>
      <c r="C6" s="69">
        <v>43</v>
      </c>
      <c r="D6" s="70">
        <v>44</v>
      </c>
      <c r="E6" s="71">
        <v>45</v>
      </c>
      <c r="F6" s="72">
        <v>46</v>
      </c>
      <c r="G6" s="73">
        <v>47</v>
      </c>
      <c r="H6" s="74">
        <v>48</v>
      </c>
      <c r="I6" s="12"/>
      <c r="J6" s="12"/>
      <c r="K6" s="12"/>
      <c r="L6" s="12"/>
      <c r="M6" s="12"/>
      <c r="N6" s="12"/>
      <c r="O6" s="12"/>
      <c r="P6" s="12"/>
      <c r="Q6" s="12"/>
    </row>
    <row r="7" spans="1:17" ht="50.1" customHeight="1">
      <c r="A7" s="151">
        <v>49</v>
      </c>
      <c r="B7" s="75">
        <v>50</v>
      </c>
      <c r="C7" s="152">
        <v>51</v>
      </c>
      <c r="D7" s="153">
        <v>52</v>
      </c>
      <c r="E7" s="76">
        <v>53</v>
      </c>
      <c r="F7" s="77">
        <v>54</v>
      </c>
      <c r="G7" s="78">
        <v>55</v>
      </c>
      <c r="H7" s="154">
        <v>56</v>
      </c>
      <c r="I7" s="12"/>
      <c r="J7" s="12"/>
      <c r="K7" s="12"/>
      <c r="L7" s="12"/>
      <c r="M7" s="12"/>
      <c r="N7" s="12"/>
      <c r="O7" s="12"/>
      <c r="P7" s="12"/>
      <c r="Q7" s="12"/>
    </row>
    <row r="8" spans="1:17">
      <c r="A8" s="12"/>
      <c r="B8" s="12"/>
      <c r="C8" s="12"/>
      <c r="D8" s="12"/>
      <c r="E8" s="12"/>
      <c r="F8" s="12"/>
      <c r="G8" s="12"/>
      <c r="H8" s="12"/>
      <c r="I8" s="12"/>
      <c r="J8" s="12"/>
      <c r="K8" s="12"/>
      <c r="L8" s="12"/>
      <c r="M8" s="12"/>
      <c r="N8" s="12"/>
      <c r="O8" s="12"/>
      <c r="P8" s="12"/>
      <c r="Q8" s="12"/>
    </row>
    <row r="9" spans="1:17">
      <c r="A9" s="29" t="s">
        <v>26</v>
      </c>
      <c r="B9" s="12"/>
      <c r="C9" s="12"/>
      <c r="D9" s="12"/>
      <c r="E9" s="12"/>
      <c r="F9" s="12"/>
      <c r="G9" s="12"/>
      <c r="H9" s="12"/>
      <c r="I9" s="12"/>
      <c r="J9" s="12"/>
      <c r="K9" s="12"/>
      <c r="L9" s="12"/>
      <c r="M9" s="12"/>
      <c r="N9" s="12"/>
      <c r="O9" s="12"/>
      <c r="P9" s="12"/>
      <c r="Q9" s="12"/>
    </row>
    <row r="10" spans="1:17">
      <c r="A10" s="12"/>
      <c r="B10" s="12"/>
      <c r="C10" s="12"/>
      <c r="D10" s="12"/>
      <c r="E10" s="12"/>
      <c r="F10" s="12"/>
      <c r="G10" s="12"/>
      <c r="H10" s="12"/>
      <c r="I10" s="12"/>
      <c r="J10" s="12"/>
      <c r="K10" s="12"/>
      <c r="L10" s="12"/>
      <c r="M10" s="12"/>
      <c r="N10" s="12"/>
      <c r="O10" s="12"/>
      <c r="P10" s="12"/>
      <c r="Q10" s="12"/>
    </row>
    <row r="16" spans="1:17">
      <c r="C16" s="148"/>
    </row>
  </sheetData>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howColors">
                <anchor moveWithCells="1" sizeWithCells="1">
                  <from>
                    <xdr:col>0</xdr:col>
                    <xdr:colOff>381000</xdr:colOff>
                    <xdr:row>10</xdr:row>
                    <xdr:rowOff>0</xdr:rowOff>
                  </from>
                  <to>
                    <xdr:col>2</xdr:col>
                    <xdr:colOff>733425</xdr:colOff>
                    <xdr:row>10</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D44"/>
  <sheetViews>
    <sheetView topLeftCell="A4" workbookViewId="0">
      <selection activeCell="C32" sqref="C32"/>
    </sheetView>
  </sheetViews>
  <sheetFormatPr defaultColWidth="8.85546875" defaultRowHeight="12.75"/>
  <cols>
    <col min="1" max="2" width="11.42578125" customWidth="1"/>
    <col min="3" max="3" width="11.140625" customWidth="1"/>
    <col min="4" max="4" width="127.85546875" customWidth="1"/>
  </cols>
  <sheetData>
    <row r="1" spans="1:4">
      <c r="A1" t="s">
        <v>39</v>
      </c>
      <c r="B1" s="79">
        <v>38701</v>
      </c>
      <c r="C1" t="s">
        <v>29</v>
      </c>
      <c r="D1" s="7" t="s">
        <v>30</v>
      </c>
    </row>
    <row r="2" spans="1:4">
      <c r="A2" t="s">
        <v>38</v>
      </c>
      <c r="B2" s="79">
        <v>38702</v>
      </c>
      <c r="C2" t="s">
        <v>29</v>
      </c>
      <c r="D2" s="7" t="s">
        <v>40</v>
      </c>
    </row>
    <row r="3" spans="1:4">
      <c r="A3" t="s">
        <v>62</v>
      </c>
      <c r="B3" s="79">
        <v>38757</v>
      </c>
      <c r="C3" t="s">
        <v>29</v>
      </c>
      <c r="D3" s="7" t="s">
        <v>47</v>
      </c>
    </row>
    <row r="4" spans="1:4">
      <c r="A4" t="s">
        <v>63</v>
      </c>
      <c r="B4" s="79">
        <v>38757</v>
      </c>
      <c r="C4" t="s">
        <v>29</v>
      </c>
      <c r="D4" s="7" t="s">
        <v>64</v>
      </c>
    </row>
    <row r="5" spans="1:4" ht="25.5">
      <c r="A5" t="s">
        <v>67</v>
      </c>
      <c r="B5" s="79">
        <v>38771</v>
      </c>
      <c r="C5" t="s">
        <v>29</v>
      </c>
      <c r="D5" s="7" t="s">
        <v>68</v>
      </c>
    </row>
    <row r="6" spans="1:4">
      <c r="A6" t="s">
        <v>70</v>
      </c>
      <c r="B6" s="79">
        <v>38777</v>
      </c>
      <c r="C6" t="s">
        <v>29</v>
      </c>
      <c r="D6" s="7" t="s">
        <v>71</v>
      </c>
    </row>
    <row r="7" spans="1:4">
      <c r="A7" t="s">
        <v>341</v>
      </c>
      <c r="B7" s="79">
        <v>38783</v>
      </c>
      <c r="C7" t="s">
        <v>29</v>
      </c>
      <c r="D7" s="7" t="s">
        <v>72</v>
      </c>
    </row>
    <row r="8" spans="1:4">
      <c r="D8" s="7" t="s">
        <v>337</v>
      </c>
    </row>
    <row r="9" spans="1:4" ht="25.5">
      <c r="D9" s="7" t="s">
        <v>338</v>
      </c>
    </row>
    <row r="10" spans="1:4">
      <c r="D10" s="7" t="s">
        <v>339</v>
      </c>
    </row>
    <row r="11" spans="1:4">
      <c r="D11" s="7" t="s">
        <v>340</v>
      </c>
    </row>
    <row r="12" spans="1:4">
      <c r="A12" t="s">
        <v>342</v>
      </c>
      <c r="B12" s="167">
        <v>38813</v>
      </c>
      <c r="C12" t="s">
        <v>29</v>
      </c>
      <c r="D12" s="155" t="s">
        <v>343</v>
      </c>
    </row>
    <row r="13" spans="1:4">
      <c r="D13" s="155" t="s">
        <v>344</v>
      </c>
    </row>
    <row r="14" spans="1:4">
      <c r="D14" s="155" t="s">
        <v>345</v>
      </c>
    </row>
    <row r="15" spans="1:4">
      <c r="D15" s="155" t="s">
        <v>346</v>
      </c>
    </row>
    <row r="16" spans="1:4">
      <c r="D16" s="155" t="s">
        <v>390</v>
      </c>
    </row>
    <row r="17" spans="1:4">
      <c r="D17" s="155" t="s">
        <v>347</v>
      </c>
    </row>
    <row r="18" spans="1:4">
      <c r="D18" s="155" t="s">
        <v>350</v>
      </c>
    </row>
    <row r="19" spans="1:4">
      <c r="D19" s="155" t="s">
        <v>374</v>
      </c>
    </row>
    <row r="20" spans="1:4">
      <c r="D20" s="155" t="s">
        <v>372</v>
      </c>
    </row>
    <row r="21" spans="1:4">
      <c r="A21" t="s">
        <v>391</v>
      </c>
      <c r="B21" s="79">
        <v>39153</v>
      </c>
      <c r="C21" t="s">
        <v>29</v>
      </c>
      <c r="D21" s="7" t="s">
        <v>392</v>
      </c>
    </row>
    <row r="22" spans="1:4">
      <c r="D22" s="7" t="s">
        <v>393</v>
      </c>
    </row>
    <row r="23" spans="1:4">
      <c r="A23" t="s">
        <v>395</v>
      </c>
      <c r="B23" s="79">
        <v>39155</v>
      </c>
      <c r="C23" t="s">
        <v>29</v>
      </c>
      <c r="D23" s="7" t="s">
        <v>394</v>
      </c>
    </row>
    <row r="24" spans="1:4">
      <c r="A24" s="253" t="s">
        <v>404</v>
      </c>
      <c r="B24" s="79">
        <v>40074</v>
      </c>
      <c r="C24" s="253" t="s">
        <v>29</v>
      </c>
      <c r="D24" s="254" t="s">
        <v>405</v>
      </c>
    </row>
    <row r="25" spans="1:4">
      <c r="A25" s="253" t="s">
        <v>406</v>
      </c>
      <c r="B25" s="79">
        <v>40079</v>
      </c>
      <c r="C25" s="253" t="s">
        <v>29</v>
      </c>
      <c r="D25" s="254" t="s">
        <v>407</v>
      </c>
    </row>
    <row r="26" spans="1:4">
      <c r="A26" t="s">
        <v>396</v>
      </c>
      <c r="B26" s="79">
        <v>40117</v>
      </c>
      <c r="C26" t="s">
        <v>29</v>
      </c>
      <c r="D26" s="7" t="s">
        <v>397</v>
      </c>
    </row>
    <row r="27" spans="1:4">
      <c r="A27" t="s">
        <v>408</v>
      </c>
      <c r="B27" s="79">
        <v>40150</v>
      </c>
      <c r="C27" t="s">
        <v>29</v>
      </c>
      <c r="D27" s="7" t="s">
        <v>409</v>
      </c>
    </row>
    <row r="28" spans="1:4">
      <c r="A28" t="s">
        <v>413</v>
      </c>
      <c r="B28" s="79">
        <v>40162</v>
      </c>
      <c r="C28" t="s">
        <v>29</v>
      </c>
      <c r="D28" s="7" t="s">
        <v>414</v>
      </c>
    </row>
    <row r="29" spans="1:4">
      <c r="A29" s="136" t="s">
        <v>389</v>
      </c>
      <c r="B29" s="136" t="s">
        <v>348</v>
      </c>
      <c r="D29" s="137"/>
    </row>
    <row r="30" spans="1:4">
      <c r="D30" s="137" t="s">
        <v>349</v>
      </c>
    </row>
    <row r="31" spans="1:4">
      <c r="D31" s="137" t="s">
        <v>351</v>
      </c>
    </row>
    <row r="32" spans="1:4">
      <c r="A32" t="s">
        <v>611</v>
      </c>
      <c r="B32" s="79">
        <v>41095</v>
      </c>
      <c r="C32" t="s">
        <v>610</v>
      </c>
      <c r="D32" s="7" t="s">
        <v>613</v>
      </c>
    </row>
    <row r="33" spans="4:4">
      <c r="D33" s="7" t="s">
        <v>612</v>
      </c>
    </row>
    <row r="34" spans="4:4">
      <c r="D34" s="7" t="s">
        <v>614</v>
      </c>
    </row>
    <row r="35" spans="4:4">
      <c r="D35" s="7" t="s">
        <v>615</v>
      </c>
    </row>
    <row r="36" spans="4:4">
      <c r="D36" s="7" t="s">
        <v>620</v>
      </c>
    </row>
    <row r="37" spans="4:4">
      <c r="D37" s="7"/>
    </row>
    <row r="38" spans="4:4">
      <c r="D38" s="7"/>
    </row>
    <row r="39" spans="4:4">
      <c r="D39" s="7"/>
    </row>
    <row r="40" spans="4:4">
      <c r="D40" s="7"/>
    </row>
    <row r="41" spans="4:4">
      <c r="D41" s="7"/>
    </row>
    <row r="42" spans="4:4">
      <c r="D42" s="7"/>
    </row>
    <row r="43" spans="4:4">
      <c r="D43" s="7"/>
    </row>
    <row r="44" spans="4:4">
      <c r="D44" s="7"/>
    </row>
  </sheetData>
  <phoneticPr fontId="2"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enableFormatConditionsCalculation="0">
    <tabColor indexed="41"/>
  </sheetPr>
  <dimension ref="A1:Q5"/>
  <sheetViews>
    <sheetView workbookViewId="0">
      <selection activeCell="A2" sqref="A2:Q2"/>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60</v>
      </c>
      <c r="B2">
        <v>0.5</v>
      </c>
      <c r="C2" t="s">
        <v>510</v>
      </c>
      <c r="D2">
        <v>6.7000000000000002E-3</v>
      </c>
      <c r="E2">
        <v>1.5E-3</v>
      </c>
      <c r="F2">
        <v>0.1</v>
      </c>
      <c r="G2">
        <v>4</v>
      </c>
      <c r="I2">
        <v>4.5999999999999996</v>
      </c>
      <c r="J2">
        <v>9.5</v>
      </c>
      <c r="K2">
        <v>22.8</v>
      </c>
      <c r="L2">
        <v>15.6</v>
      </c>
      <c r="M2">
        <v>0.61799999999999999</v>
      </c>
      <c r="N2">
        <v>1.0009999999999999</v>
      </c>
      <c r="O2">
        <v>0</v>
      </c>
      <c r="P2">
        <v>0</v>
      </c>
      <c r="Q2">
        <v>0.01</v>
      </c>
    </row>
    <row r="3" spans="1:17">
      <c r="A3">
        <v>45</v>
      </c>
      <c r="B3">
        <v>0.5</v>
      </c>
      <c r="C3" t="s">
        <v>425</v>
      </c>
      <c r="D3">
        <v>6.7000000000000002E-3</v>
      </c>
      <c r="E3">
        <v>1.5E-3</v>
      </c>
      <c r="F3">
        <v>0.1</v>
      </c>
      <c r="G3">
        <v>12</v>
      </c>
      <c r="I3">
        <v>13.9</v>
      </c>
      <c r="J3">
        <v>28.4</v>
      </c>
      <c r="K3">
        <v>22.5</v>
      </c>
      <c r="L3">
        <v>15.3</v>
      </c>
      <c r="M3">
        <v>0.755</v>
      </c>
      <c r="N3">
        <v>1.008</v>
      </c>
      <c r="O3">
        <v>3</v>
      </c>
      <c r="P3">
        <v>7</v>
      </c>
      <c r="Q3">
        <v>1.4999999999999999E-2</v>
      </c>
    </row>
    <row r="4" spans="1:17">
      <c r="A4">
        <v>45</v>
      </c>
      <c r="B4">
        <v>0.5</v>
      </c>
      <c r="C4" t="s">
        <v>427</v>
      </c>
      <c r="D4">
        <v>6.7000000000000002E-3</v>
      </c>
      <c r="E4">
        <v>1.5E-3</v>
      </c>
      <c r="F4">
        <v>0.1</v>
      </c>
      <c r="G4">
        <v>18</v>
      </c>
      <c r="I4">
        <v>20.5</v>
      </c>
      <c r="J4">
        <v>42.2</v>
      </c>
      <c r="K4">
        <v>22.6</v>
      </c>
      <c r="L4">
        <v>14.7</v>
      </c>
      <c r="M4">
        <v>0.77</v>
      </c>
      <c r="N4">
        <v>1.028</v>
      </c>
      <c r="O4">
        <v>6.5</v>
      </c>
      <c r="P4">
        <v>12.5</v>
      </c>
      <c r="Q4">
        <v>1.4E-2</v>
      </c>
    </row>
    <row r="5" spans="1:17">
      <c r="A5">
        <v>60</v>
      </c>
      <c r="B5">
        <v>0.5</v>
      </c>
      <c r="C5" t="s">
        <v>427</v>
      </c>
      <c r="D5">
        <v>6.7000000000000002E-3</v>
      </c>
      <c r="E5">
        <v>1.5E-3</v>
      </c>
      <c r="F5">
        <v>0.1</v>
      </c>
      <c r="G5">
        <v>18</v>
      </c>
      <c r="I5">
        <v>20.5</v>
      </c>
      <c r="J5">
        <v>42.2</v>
      </c>
      <c r="K5">
        <v>22.6</v>
      </c>
      <c r="L5">
        <v>14.7</v>
      </c>
      <c r="M5">
        <v>0.65500000000000003</v>
      </c>
      <c r="N5">
        <v>1.002</v>
      </c>
      <c r="O5">
        <v>5</v>
      </c>
      <c r="P5">
        <v>9</v>
      </c>
      <c r="Q5">
        <v>2.2499999999999999E-2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enableFormatConditionsCalculation="0">
    <tabColor indexed="34"/>
  </sheetPr>
  <dimension ref="A1:Q11"/>
  <sheetViews>
    <sheetView workbookViewId="0">
      <selection activeCell="A3" sqref="A3:Q3"/>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70</v>
      </c>
      <c r="B3">
        <v>0.75</v>
      </c>
      <c r="C3" t="s">
        <v>445</v>
      </c>
      <c r="D3">
        <v>2.3999999999999998E-3</v>
      </c>
      <c r="E3">
        <v>0.01</v>
      </c>
      <c r="F3">
        <v>0.06</v>
      </c>
      <c r="G3">
        <v>4</v>
      </c>
      <c r="I3">
        <v>4.5999999999999996</v>
      </c>
      <c r="J3">
        <v>9.5</v>
      </c>
      <c r="K3">
        <v>13.4</v>
      </c>
      <c r="L3">
        <v>5.3</v>
      </c>
      <c r="M3">
        <v>0.36899999999999999</v>
      </c>
      <c r="N3">
        <v>1.0009999999999999</v>
      </c>
      <c r="O3">
        <v>-1.5</v>
      </c>
      <c r="P3">
        <v>0.5</v>
      </c>
      <c r="Q3">
        <v>8.9999999999999993E-3</v>
      </c>
    </row>
    <row r="4" spans="1:17">
      <c r="A4">
        <v>60</v>
      </c>
      <c r="B4">
        <v>0.75</v>
      </c>
      <c r="C4" t="s">
        <v>446</v>
      </c>
      <c r="D4">
        <v>2.3999999999999998E-3</v>
      </c>
      <c r="E4">
        <v>0.01</v>
      </c>
      <c r="F4">
        <v>0.06</v>
      </c>
      <c r="G4">
        <v>8</v>
      </c>
      <c r="I4">
        <v>9.1999999999999993</v>
      </c>
      <c r="J4">
        <v>19</v>
      </c>
      <c r="K4">
        <v>13.4</v>
      </c>
      <c r="L4">
        <v>5.2</v>
      </c>
      <c r="M4">
        <v>0.51500000000000001</v>
      </c>
      <c r="N4">
        <v>1.004</v>
      </c>
      <c r="O4">
        <v>1</v>
      </c>
      <c r="P4">
        <v>4.5</v>
      </c>
      <c r="Q4">
        <v>0.01</v>
      </c>
    </row>
    <row r="5" spans="1:17">
      <c r="A5">
        <v>70</v>
      </c>
      <c r="B5">
        <v>0.75</v>
      </c>
      <c r="C5" t="s">
        <v>446</v>
      </c>
      <c r="D5">
        <v>2.3999999999999998E-3</v>
      </c>
      <c r="E5">
        <v>0.01</v>
      </c>
      <c r="F5">
        <v>0.06</v>
      </c>
      <c r="G5">
        <v>8</v>
      </c>
      <c r="I5">
        <v>9.1999999999999993</v>
      </c>
      <c r="J5">
        <v>19</v>
      </c>
      <c r="K5">
        <v>13.4</v>
      </c>
      <c r="L5">
        <v>5.2</v>
      </c>
      <c r="M5">
        <v>0.39</v>
      </c>
      <c r="N5">
        <v>1</v>
      </c>
      <c r="O5">
        <v>0.5</v>
      </c>
      <c r="P5">
        <v>4</v>
      </c>
      <c r="Q5">
        <v>1.0999999999999999E-2</v>
      </c>
    </row>
    <row r="6" spans="1:17">
      <c r="A6">
        <v>60</v>
      </c>
      <c r="B6">
        <v>0.75</v>
      </c>
      <c r="C6" t="s">
        <v>447</v>
      </c>
      <c r="D6">
        <v>2.3999999999999998E-3</v>
      </c>
      <c r="E6">
        <v>0.01</v>
      </c>
      <c r="F6">
        <v>0.06</v>
      </c>
      <c r="G6">
        <v>12</v>
      </c>
      <c r="I6">
        <v>13.8</v>
      </c>
      <c r="J6">
        <v>28.4</v>
      </c>
      <c r="K6">
        <v>13.4</v>
      </c>
      <c r="L6">
        <v>5.2</v>
      </c>
      <c r="M6">
        <v>0.56399999999999995</v>
      </c>
      <c r="N6">
        <v>1.018</v>
      </c>
      <c r="O6">
        <v>5.5</v>
      </c>
      <c r="P6">
        <v>10</v>
      </c>
      <c r="Q6">
        <v>1.2E-2</v>
      </c>
    </row>
    <row r="7" spans="1:17">
      <c r="A7">
        <v>70</v>
      </c>
      <c r="B7">
        <v>0.75</v>
      </c>
      <c r="C7" t="s">
        <v>447</v>
      </c>
      <c r="D7">
        <v>2.3999999999999998E-3</v>
      </c>
      <c r="E7">
        <v>0.01</v>
      </c>
      <c r="F7">
        <v>0.06</v>
      </c>
      <c r="G7">
        <v>12</v>
      </c>
      <c r="I7">
        <v>13.8</v>
      </c>
      <c r="J7">
        <v>28.4</v>
      </c>
      <c r="K7">
        <v>13.4</v>
      </c>
      <c r="L7">
        <v>5.2</v>
      </c>
      <c r="M7">
        <v>0.42299999999999999</v>
      </c>
      <c r="N7">
        <v>1.002</v>
      </c>
      <c r="O7">
        <v>3.5</v>
      </c>
      <c r="P7">
        <v>7.5</v>
      </c>
      <c r="Q7">
        <v>0.01</v>
      </c>
    </row>
    <row r="8" spans="1:17">
      <c r="A8">
        <v>45</v>
      </c>
      <c r="B8">
        <v>0.75</v>
      </c>
      <c r="C8" t="s">
        <v>425</v>
      </c>
      <c r="D8">
        <v>6.7000000000000002E-3</v>
      </c>
      <c r="E8">
        <v>1.5E-3</v>
      </c>
      <c r="F8">
        <v>0.1</v>
      </c>
      <c r="G8">
        <v>12</v>
      </c>
      <c r="I8">
        <v>13.9</v>
      </c>
      <c r="J8">
        <v>28.4</v>
      </c>
      <c r="K8">
        <v>22.5</v>
      </c>
      <c r="L8">
        <v>15.3</v>
      </c>
      <c r="M8">
        <v>0.69399999999999995</v>
      </c>
      <c r="N8">
        <v>1.079</v>
      </c>
      <c r="O8">
        <v>3.5</v>
      </c>
      <c r="P8">
        <v>8.5</v>
      </c>
      <c r="Q8">
        <v>1.4999999999999999E-2</v>
      </c>
    </row>
    <row r="9" spans="1:17">
      <c r="A9">
        <v>60</v>
      </c>
      <c r="B9">
        <v>0.75</v>
      </c>
      <c r="C9" t="s">
        <v>425</v>
      </c>
      <c r="D9">
        <v>6.7000000000000002E-3</v>
      </c>
      <c r="E9">
        <v>1.5E-3</v>
      </c>
      <c r="F9">
        <v>0.1</v>
      </c>
      <c r="G9">
        <v>12</v>
      </c>
      <c r="I9">
        <v>13.9</v>
      </c>
      <c r="J9">
        <v>28.4</v>
      </c>
      <c r="K9">
        <v>22.5</v>
      </c>
      <c r="L9">
        <v>15.3</v>
      </c>
      <c r="M9">
        <v>0.55000000000000004</v>
      </c>
      <c r="N9">
        <v>1.022</v>
      </c>
      <c r="O9">
        <v>4</v>
      </c>
      <c r="P9">
        <v>8.5</v>
      </c>
      <c r="Q9">
        <v>1.4500000000000001E-2</v>
      </c>
    </row>
    <row r="10" spans="1:17">
      <c r="A10">
        <v>45</v>
      </c>
      <c r="B10">
        <v>0.75</v>
      </c>
      <c r="C10" t="s">
        <v>427</v>
      </c>
      <c r="D10">
        <v>6.7000000000000002E-3</v>
      </c>
      <c r="E10">
        <v>1.5E-3</v>
      </c>
      <c r="F10">
        <v>0.1</v>
      </c>
      <c r="G10">
        <v>18</v>
      </c>
      <c r="I10">
        <v>20.5</v>
      </c>
      <c r="J10">
        <v>42.2</v>
      </c>
      <c r="K10">
        <v>22.6</v>
      </c>
      <c r="L10">
        <v>14.7</v>
      </c>
      <c r="M10">
        <v>0.72899999999999998</v>
      </c>
      <c r="N10">
        <v>1.1539999999999999</v>
      </c>
      <c r="O10">
        <v>10.5</v>
      </c>
      <c r="P10">
        <v>20</v>
      </c>
      <c r="Q10">
        <v>1.9E-2</v>
      </c>
    </row>
    <row r="11" spans="1:17">
      <c r="A11">
        <v>60</v>
      </c>
      <c r="B11">
        <v>0.75</v>
      </c>
      <c r="C11" t="s">
        <v>427</v>
      </c>
      <c r="D11">
        <v>6.7000000000000002E-3</v>
      </c>
      <c r="E11">
        <v>1.5E-3</v>
      </c>
      <c r="F11">
        <v>0.1</v>
      </c>
      <c r="G11">
        <v>18</v>
      </c>
      <c r="I11">
        <v>20.5</v>
      </c>
      <c r="J11">
        <v>42.2</v>
      </c>
      <c r="K11">
        <v>22.6</v>
      </c>
      <c r="L11">
        <v>14.7</v>
      </c>
      <c r="M11">
        <v>0.56899999999999995</v>
      </c>
      <c r="N11">
        <v>1.0589999999999999</v>
      </c>
      <c r="O11">
        <v>9</v>
      </c>
      <c r="P11">
        <v>16</v>
      </c>
      <c r="Q11">
        <v>1.6E-2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enableFormatConditionsCalculation="0">
    <tabColor indexed="34"/>
  </sheetPr>
  <dimension ref="A1:Q12"/>
  <sheetViews>
    <sheetView workbookViewId="0">
      <selection activeCell="A2" sqref="A2:Q2"/>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0</v>
      </c>
      <c r="B2">
        <v>1E-3</v>
      </c>
      <c r="C2" t="s">
        <v>626</v>
      </c>
      <c r="D2" s="288">
        <v>2.3999999999999998E-3</v>
      </c>
      <c r="E2" s="288">
        <v>1E-4</v>
      </c>
      <c r="F2">
        <v>0.06</v>
      </c>
      <c r="G2">
        <v>0</v>
      </c>
      <c r="I2">
        <v>0</v>
      </c>
      <c r="J2">
        <v>0</v>
      </c>
      <c r="K2">
        <v>13.4</v>
      </c>
      <c r="L2">
        <v>9.1</v>
      </c>
      <c r="M2">
        <v>1</v>
      </c>
      <c r="N2">
        <v>1</v>
      </c>
      <c r="O2">
        <v>-4</v>
      </c>
      <c r="P2">
        <v>0</v>
      </c>
      <c r="Q2">
        <v>8.9999999999999993E-3</v>
      </c>
    </row>
    <row r="3" spans="1:17">
      <c r="A3">
        <v>0</v>
      </c>
      <c r="B3">
        <v>1E-3</v>
      </c>
      <c r="C3" t="s">
        <v>627</v>
      </c>
      <c r="D3" s="288">
        <v>5.4999999999999997E-3</v>
      </c>
      <c r="E3" s="288">
        <v>1E-4</v>
      </c>
      <c r="F3">
        <v>0.09</v>
      </c>
      <c r="G3">
        <v>0</v>
      </c>
      <c r="I3">
        <v>0</v>
      </c>
      <c r="J3">
        <v>0</v>
      </c>
      <c r="K3">
        <v>20.399999999999999</v>
      </c>
      <c r="L3">
        <v>14</v>
      </c>
      <c r="M3">
        <v>1</v>
      </c>
      <c r="N3">
        <v>1</v>
      </c>
      <c r="O3">
        <v>-5.5</v>
      </c>
      <c r="P3">
        <v>0</v>
      </c>
      <c r="Q3">
        <v>8.9999999999999993E-3</v>
      </c>
    </row>
    <row r="4" spans="1:17">
      <c r="A4">
        <v>0</v>
      </c>
      <c r="B4">
        <v>1E-3</v>
      </c>
      <c r="C4" t="s">
        <v>628</v>
      </c>
      <c r="D4" s="288">
        <v>2.3999999999999998E-3</v>
      </c>
      <c r="E4" s="288">
        <v>1E-4</v>
      </c>
      <c r="F4">
        <v>0.06</v>
      </c>
      <c r="G4">
        <v>2</v>
      </c>
      <c r="I4">
        <v>2.2999999999999998</v>
      </c>
      <c r="J4">
        <v>4.7</v>
      </c>
      <c r="K4">
        <v>13.4</v>
      </c>
      <c r="L4">
        <v>9.1</v>
      </c>
      <c r="M4">
        <v>1</v>
      </c>
      <c r="N4">
        <v>1</v>
      </c>
      <c r="O4">
        <v>-4.5</v>
      </c>
      <c r="P4">
        <v>0</v>
      </c>
      <c r="Q4">
        <v>8.9999999999999993E-3</v>
      </c>
    </row>
    <row r="5" spans="1:17">
      <c r="A5">
        <v>0</v>
      </c>
      <c r="B5">
        <v>1E-3</v>
      </c>
      <c r="C5" t="s">
        <v>629</v>
      </c>
      <c r="D5" s="288">
        <v>5.4999999999999997E-3</v>
      </c>
      <c r="E5" s="288">
        <v>1E-4</v>
      </c>
      <c r="F5">
        <v>0.09</v>
      </c>
      <c r="G5">
        <v>2</v>
      </c>
      <c r="I5">
        <v>2.2999999999999998</v>
      </c>
      <c r="J5">
        <v>4.7</v>
      </c>
      <c r="K5">
        <v>20.399999999999999</v>
      </c>
      <c r="L5">
        <v>14</v>
      </c>
      <c r="M5">
        <v>1</v>
      </c>
      <c r="N5">
        <v>1</v>
      </c>
      <c r="O5">
        <v>-5</v>
      </c>
      <c r="P5">
        <v>0</v>
      </c>
      <c r="Q5">
        <v>8.9999999999999993E-3</v>
      </c>
    </row>
    <row r="6" spans="1:17">
      <c r="A6">
        <v>0</v>
      </c>
      <c r="B6">
        <v>1E-3</v>
      </c>
      <c r="C6" t="s">
        <v>510</v>
      </c>
      <c r="D6" s="288">
        <v>6.7000000000000002E-3</v>
      </c>
      <c r="E6" s="288">
        <v>1E-4</v>
      </c>
      <c r="F6">
        <v>0.1</v>
      </c>
      <c r="G6">
        <v>4</v>
      </c>
      <c r="I6">
        <v>4.5999999999999996</v>
      </c>
      <c r="J6">
        <v>9.5</v>
      </c>
      <c r="K6">
        <v>22.8</v>
      </c>
      <c r="L6">
        <v>15.6</v>
      </c>
      <c r="M6">
        <v>1</v>
      </c>
      <c r="N6">
        <v>1</v>
      </c>
      <c r="O6">
        <v>-5</v>
      </c>
      <c r="P6">
        <v>0</v>
      </c>
      <c r="Q6">
        <v>8.9999999999999993E-3</v>
      </c>
    </row>
    <row r="7" spans="1:17">
      <c r="A7">
        <v>0</v>
      </c>
      <c r="B7">
        <v>1E-3</v>
      </c>
      <c r="C7" t="s">
        <v>630</v>
      </c>
      <c r="D7" s="288">
        <v>0.01</v>
      </c>
      <c r="E7" s="288">
        <v>1E-4</v>
      </c>
      <c r="F7">
        <v>0.12</v>
      </c>
      <c r="G7">
        <v>0</v>
      </c>
      <c r="I7">
        <v>0</v>
      </c>
      <c r="J7">
        <v>0</v>
      </c>
      <c r="K7">
        <v>27.2</v>
      </c>
      <c r="L7">
        <v>18.7</v>
      </c>
      <c r="M7">
        <v>1</v>
      </c>
      <c r="N7">
        <v>1</v>
      </c>
      <c r="O7">
        <v>-5.5</v>
      </c>
      <c r="P7">
        <v>0</v>
      </c>
      <c r="Q7">
        <v>8.9999999999999993E-3</v>
      </c>
    </row>
    <row r="8" spans="1:17">
      <c r="A8">
        <v>0</v>
      </c>
      <c r="B8">
        <v>1E-3</v>
      </c>
      <c r="C8" t="s">
        <v>631</v>
      </c>
      <c r="D8" s="288">
        <v>0.01</v>
      </c>
      <c r="E8" s="288">
        <v>1E-4</v>
      </c>
      <c r="F8">
        <v>0.12</v>
      </c>
      <c r="G8">
        <v>2</v>
      </c>
      <c r="I8">
        <v>2.2999999999999998</v>
      </c>
      <c r="J8">
        <v>4.7</v>
      </c>
      <c r="K8">
        <v>27.2</v>
      </c>
      <c r="L8">
        <v>18.7</v>
      </c>
      <c r="M8">
        <v>1</v>
      </c>
      <c r="N8">
        <v>1</v>
      </c>
      <c r="O8">
        <v>-5.5</v>
      </c>
      <c r="P8">
        <v>0</v>
      </c>
      <c r="Q8">
        <v>0.01</v>
      </c>
    </row>
    <row r="9" spans="1:17">
      <c r="A9">
        <v>0</v>
      </c>
      <c r="B9">
        <v>1E-3</v>
      </c>
      <c r="C9" t="s">
        <v>632</v>
      </c>
      <c r="D9" s="288">
        <v>0.01</v>
      </c>
      <c r="E9" s="288">
        <v>1E-4</v>
      </c>
      <c r="F9">
        <v>0.12</v>
      </c>
      <c r="G9">
        <v>4</v>
      </c>
      <c r="I9">
        <v>4.5999999999999996</v>
      </c>
      <c r="J9">
        <v>9.5</v>
      </c>
      <c r="K9">
        <v>27.2</v>
      </c>
      <c r="L9">
        <v>18.7</v>
      </c>
      <c r="M9">
        <v>1</v>
      </c>
      <c r="N9">
        <v>1</v>
      </c>
      <c r="O9">
        <v>-6</v>
      </c>
      <c r="P9">
        <v>0</v>
      </c>
      <c r="Q9">
        <v>0.01</v>
      </c>
    </row>
    <row r="10" spans="1:17">
      <c r="A10">
        <v>0</v>
      </c>
      <c r="B10">
        <v>1E-3</v>
      </c>
      <c r="C10" t="s">
        <v>633</v>
      </c>
      <c r="D10" s="288">
        <v>1.5100000000000001E-2</v>
      </c>
      <c r="E10" s="288">
        <v>1E-4</v>
      </c>
      <c r="F10">
        <v>0.15</v>
      </c>
      <c r="G10">
        <v>0</v>
      </c>
      <c r="I10">
        <v>0</v>
      </c>
      <c r="J10">
        <v>0</v>
      </c>
      <c r="K10">
        <v>33.799999999999997</v>
      </c>
      <c r="L10">
        <v>22.7</v>
      </c>
      <c r="M10">
        <v>1</v>
      </c>
      <c r="N10">
        <v>1</v>
      </c>
      <c r="O10">
        <v>-6.5</v>
      </c>
      <c r="P10">
        <v>0</v>
      </c>
      <c r="Q10">
        <v>0.01</v>
      </c>
    </row>
    <row r="11" spans="1:17">
      <c r="A11">
        <v>0</v>
      </c>
      <c r="B11">
        <v>1E-3</v>
      </c>
      <c r="C11" t="s">
        <v>634</v>
      </c>
      <c r="D11" s="288">
        <v>1.5100000000000001E-2</v>
      </c>
      <c r="E11" s="288">
        <v>1E-4</v>
      </c>
      <c r="F11">
        <v>0.15</v>
      </c>
      <c r="G11">
        <v>2</v>
      </c>
      <c r="I11">
        <v>2.2999999999999998</v>
      </c>
      <c r="J11">
        <v>4.7</v>
      </c>
      <c r="K11">
        <v>33.799999999999997</v>
      </c>
      <c r="L11">
        <v>22.7</v>
      </c>
      <c r="M11">
        <v>1</v>
      </c>
      <c r="N11">
        <v>1</v>
      </c>
      <c r="O11">
        <v>-6.5</v>
      </c>
      <c r="P11">
        <v>0</v>
      </c>
      <c r="Q11">
        <v>0.01</v>
      </c>
    </row>
    <row r="12" spans="1:17">
      <c r="A12">
        <v>0</v>
      </c>
      <c r="B12">
        <v>1E-3</v>
      </c>
      <c r="C12" t="s">
        <v>635</v>
      </c>
      <c r="D12" s="288">
        <v>1.5100000000000001E-2</v>
      </c>
      <c r="E12" s="288">
        <v>1E-4</v>
      </c>
      <c r="F12">
        <v>0.15</v>
      </c>
      <c r="G12">
        <v>4</v>
      </c>
      <c r="I12">
        <v>4.5999999999999996</v>
      </c>
      <c r="J12">
        <v>9.5</v>
      </c>
      <c r="K12">
        <v>33.799999999999997</v>
      </c>
      <c r="L12">
        <v>22.7</v>
      </c>
      <c r="M12">
        <v>1</v>
      </c>
      <c r="N12">
        <v>1</v>
      </c>
      <c r="O12">
        <v>-6.5</v>
      </c>
      <c r="P12">
        <v>0</v>
      </c>
      <c r="Q12">
        <v>0.01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enableFormatConditionsCalculation="0">
    <tabColor indexed="34"/>
  </sheetPr>
  <dimension ref="A1:Q31"/>
  <sheetViews>
    <sheetView workbookViewId="0">
      <selection activeCell="A3" sqref="A3:Q3"/>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60</v>
      </c>
      <c r="B2">
        <v>1</v>
      </c>
      <c r="C2" t="s">
        <v>445</v>
      </c>
      <c r="D2">
        <v>2.3999999999999998E-3</v>
      </c>
      <c r="E2">
        <v>0.01</v>
      </c>
      <c r="F2">
        <v>0.06</v>
      </c>
      <c r="G2">
        <v>4</v>
      </c>
      <c r="I2">
        <v>4.5999999999999996</v>
      </c>
      <c r="J2">
        <v>9.5</v>
      </c>
      <c r="K2">
        <v>13.4</v>
      </c>
      <c r="L2">
        <v>5.3</v>
      </c>
      <c r="M2">
        <v>0.44800000000000001</v>
      </c>
      <c r="N2">
        <v>1.0269999999999999</v>
      </c>
      <c r="O2">
        <v>-1.5</v>
      </c>
      <c r="P2">
        <v>0.5</v>
      </c>
      <c r="Q2">
        <v>8.9999999999999993E-3</v>
      </c>
    </row>
    <row r="3" spans="1:17">
      <c r="A3">
        <v>70</v>
      </c>
      <c r="B3">
        <v>1</v>
      </c>
      <c r="C3" t="s">
        <v>445</v>
      </c>
      <c r="D3">
        <v>2.3999999999999998E-3</v>
      </c>
      <c r="E3">
        <v>0.01</v>
      </c>
      <c r="F3">
        <v>0.06</v>
      </c>
      <c r="G3">
        <v>4</v>
      </c>
      <c r="I3">
        <v>4.5999999999999996</v>
      </c>
      <c r="J3">
        <v>9.5</v>
      </c>
      <c r="K3">
        <v>13.4</v>
      </c>
      <c r="L3">
        <v>5.3</v>
      </c>
      <c r="M3">
        <v>0.30299999999999999</v>
      </c>
      <c r="N3">
        <v>1.016</v>
      </c>
      <c r="O3">
        <v>-1</v>
      </c>
      <c r="P3">
        <v>0</v>
      </c>
      <c r="Q3">
        <v>8.9999999999999993E-3</v>
      </c>
    </row>
    <row r="4" spans="1:17">
      <c r="A4">
        <v>30</v>
      </c>
      <c r="B4">
        <v>1</v>
      </c>
      <c r="C4" t="s">
        <v>510</v>
      </c>
      <c r="D4">
        <v>6.7000000000000002E-3</v>
      </c>
      <c r="E4">
        <v>1.5E-3</v>
      </c>
      <c r="F4">
        <v>0.1</v>
      </c>
      <c r="G4">
        <v>4</v>
      </c>
      <c r="I4">
        <v>4.5999999999999996</v>
      </c>
      <c r="J4">
        <v>9.5</v>
      </c>
      <c r="K4">
        <v>22.8</v>
      </c>
      <c r="L4">
        <v>15.6</v>
      </c>
      <c r="M4">
        <v>0.75600000000000001</v>
      </c>
      <c r="N4">
        <v>1.0720000000000001</v>
      </c>
      <c r="O4">
        <v>-3</v>
      </c>
      <c r="P4">
        <v>0</v>
      </c>
      <c r="Q4">
        <v>1.2999999999999999E-2</v>
      </c>
    </row>
    <row r="5" spans="1:17">
      <c r="A5">
        <v>70</v>
      </c>
      <c r="B5">
        <v>1</v>
      </c>
      <c r="C5" t="s">
        <v>510</v>
      </c>
      <c r="D5">
        <v>6.7000000000000002E-3</v>
      </c>
      <c r="E5">
        <v>1.5E-3</v>
      </c>
      <c r="F5">
        <v>0.1</v>
      </c>
      <c r="G5">
        <v>4</v>
      </c>
      <c r="I5">
        <v>4.5999999999999996</v>
      </c>
      <c r="J5">
        <v>9.5</v>
      </c>
      <c r="K5">
        <v>22.8</v>
      </c>
      <c r="L5">
        <v>15.6</v>
      </c>
      <c r="M5">
        <v>0.28100000000000003</v>
      </c>
      <c r="N5">
        <v>1.012</v>
      </c>
      <c r="O5">
        <v>-2.5</v>
      </c>
      <c r="P5">
        <v>-2</v>
      </c>
      <c r="Q5">
        <v>1.0999999999999999E-2</v>
      </c>
    </row>
    <row r="6" spans="1:17">
      <c r="A6">
        <v>60</v>
      </c>
      <c r="B6">
        <v>1</v>
      </c>
      <c r="C6" t="s">
        <v>446</v>
      </c>
      <c r="D6">
        <v>2.3999999999999998E-3</v>
      </c>
      <c r="E6">
        <v>0.01</v>
      </c>
      <c r="F6">
        <v>0.06</v>
      </c>
      <c r="G6">
        <v>8</v>
      </c>
      <c r="I6">
        <v>9.1999999999999993</v>
      </c>
      <c r="J6">
        <v>19</v>
      </c>
      <c r="K6">
        <v>13.4</v>
      </c>
      <c r="L6">
        <v>5.2</v>
      </c>
      <c r="M6">
        <v>0.50900000000000001</v>
      </c>
      <c r="N6">
        <v>1.0840000000000001</v>
      </c>
      <c r="O6">
        <v>4</v>
      </c>
      <c r="P6">
        <v>8</v>
      </c>
      <c r="Q6">
        <v>1.0999999999999999E-2</v>
      </c>
    </row>
    <row r="7" spans="1:17">
      <c r="A7">
        <v>70</v>
      </c>
      <c r="B7">
        <v>1</v>
      </c>
      <c r="C7" t="s">
        <v>446</v>
      </c>
      <c r="D7">
        <v>2.3999999999999998E-3</v>
      </c>
      <c r="E7">
        <v>0.01</v>
      </c>
      <c r="F7">
        <v>0.06</v>
      </c>
      <c r="G7">
        <v>8</v>
      </c>
      <c r="I7">
        <v>9.1999999999999993</v>
      </c>
      <c r="J7">
        <v>19</v>
      </c>
      <c r="K7">
        <v>13.4</v>
      </c>
      <c r="L7">
        <v>5.2</v>
      </c>
      <c r="M7">
        <v>0.39</v>
      </c>
      <c r="N7">
        <v>1.075</v>
      </c>
      <c r="O7">
        <v>5.5</v>
      </c>
      <c r="P7">
        <v>9.5</v>
      </c>
      <c r="Q7">
        <v>8.9999999999999993E-3</v>
      </c>
    </row>
    <row r="8" spans="1:17">
      <c r="A8">
        <v>30</v>
      </c>
      <c r="B8">
        <v>1</v>
      </c>
      <c r="C8" t="s">
        <v>424</v>
      </c>
      <c r="D8">
        <v>6.7000000000000002E-3</v>
      </c>
      <c r="E8">
        <v>1.5E-3</v>
      </c>
      <c r="F8">
        <v>0.1</v>
      </c>
      <c r="G8">
        <v>8</v>
      </c>
      <c r="I8">
        <v>9.1999999999999993</v>
      </c>
      <c r="J8">
        <v>19</v>
      </c>
      <c r="K8">
        <v>22.8</v>
      </c>
      <c r="L8">
        <v>15.4</v>
      </c>
      <c r="M8">
        <v>0.77400000000000002</v>
      </c>
      <c r="N8">
        <v>1.125</v>
      </c>
      <c r="O8">
        <v>1</v>
      </c>
      <c r="P8">
        <v>7</v>
      </c>
      <c r="Q8">
        <v>1.4999999999999999E-2</v>
      </c>
    </row>
    <row r="9" spans="1:17">
      <c r="A9">
        <v>70</v>
      </c>
      <c r="B9">
        <v>1</v>
      </c>
      <c r="C9" t="s">
        <v>424</v>
      </c>
      <c r="D9">
        <v>6.7000000000000002E-3</v>
      </c>
      <c r="E9">
        <v>1.5E-3</v>
      </c>
      <c r="F9">
        <v>0.1</v>
      </c>
      <c r="G9">
        <v>8</v>
      </c>
      <c r="I9">
        <v>9.1999999999999993</v>
      </c>
      <c r="J9">
        <v>19</v>
      </c>
      <c r="K9">
        <v>22.8</v>
      </c>
      <c r="L9">
        <v>15.4</v>
      </c>
      <c r="M9">
        <v>0.33400000000000002</v>
      </c>
      <c r="N9">
        <v>1.07</v>
      </c>
      <c r="O9">
        <v>1.5</v>
      </c>
      <c r="P9">
        <v>4</v>
      </c>
      <c r="Q9">
        <v>1.2999999999999999E-2</v>
      </c>
    </row>
    <row r="10" spans="1:17">
      <c r="A10">
        <v>60</v>
      </c>
      <c r="B10">
        <v>1</v>
      </c>
      <c r="C10" t="s">
        <v>430</v>
      </c>
      <c r="D10">
        <v>2.3999999999999998E-3</v>
      </c>
      <c r="E10">
        <v>1.5E-3</v>
      </c>
      <c r="F10">
        <v>0.06</v>
      </c>
      <c r="G10">
        <v>12</v>
      </c>
      <c r="I10">
        <v>13.8</v>
      </c>
      <c r="J10">
        <v>28.4</v>
      </c>
      <c r="K10">
        <v>13.3</v>
      </c>
      <c r="L10">
        <v>9.8000000000000007</v>
      </c>
      <c r="M10">
        <v>0.54300000000000004</v>
      </c>
      <c r="N10">
        <v>1.1719999999999999</v>
      </c>
      <c r="O10">
        <v>8</v>
      </c>
      <c r="P10">
        <v>14</v>
      </c>
      <c r="Q10">
        <v>1.0500000000000001E-2</v>
      </c>
    </row>
    <row r="11" spans="1:17">
      <c r="A11">
        <v>60</v>
      </c>
      <c r="B11">
        <v>1</v>
      </c>
      <c r="C11" t="s">
        <v>447</v>
      </c>
      <c r="D11">
        <v>2.3999999999999998E-3</v>
      </c>
      <c r="E11">
        <v>0.01</v>
      </c>
      <c r="F11">
        <v>0.06</v>
      </c>
      <c r="G11">
        <v>12</v>
      </c>
      <c r="I11">
        <v>13.8</v>
      </c>
      <c r="J11">
        <v>28.4</v>
      </c>
      <c r="K11">
        <v>13.4</v>
      </c>
      <c r="L11">
        <v>5.2</v>
      </c>
      <c r="M11">
        <v>0.53600000000000003</v>
      </c>
      <c r="N11">
        <v>1.149</v>
      </c>
      <c r="O11">
        <v>7.5</v>
      </c>
      <c r="P11">
        <v>13.5</v>
      </c>
      <c r="Q11">
        <v>0.01</v>
      </c>
    </row>
    <row r="12" spans="1:17">
      <c r="A12">
        <v>70</v>
      </c>
      <c r="B12">
        <v>1</v>
      </c>
      <c r="C12" t="s">
        <v>447</v>
      </c>
      <c r="D12">
        <v>2.3999999999999998E-3</v>
      </c>
      <c r="E12">
        <v>0.01</v>
      </c>
      <c r="F12">
        <v>0.06</v>
      </c>
      <c r="G12">
        <v>12</v>
      </c>
      <c r="I12">
        <v>13.8</v>
      </c>
      <c r="J12">
        <v>28.4</v>
      </c>
      <c r="K12">
        <v>13.4</v>
      </c>
      <c r="L12">
        <v>5.2</v>
      </c>
      <c r="M12">
        <v>0.38500000000000001</v>
      </c>
      <c r="N12">
        <v>1.1259999999999999</v>
      </c>
      <c r="O12">
        <v>6</v>
      </c>
      <c r="P12">
        <v>9.5</v>
      </c>
      <c r="Q12">
        <v>1.0999999999999999E-2</v>
      </c>
    </row>
    <row r="13" spans="1:17">
      <c r="A13">
        <v>60</v>
      </c>
      <c r="B13">
        <v>1</v>
      </c>
      <c r="C13" t="s">
        <v>431</v>
      </c>
      <c r="D13">
        <v>4.3E-3</v>
      </c>
      <c r="E13">
        <v>1.5E-3</v>
      </c>
      <c r="F13">
        <v>0.08</v>
      </c>
      <c r="G13">
        <v>12</v>
      </c>
      <c r="I13">
        <v>13.8</v>
      </c>
      <c r="J13">
        <v>28.4</v>
      </c>
      <c r="K13">
        <v>17.899999999999999</v>
      </c>
      <c r="L13">
        <v>12.8</v>
      </c>
      <c r="M13">
        <v>0.51900000000000002</v>
      </c>
      <c r="N13">
        <v>1.171</v>
      </c>
      <c r="O13">
        <v>6.5</v>
      </c>
      <c r="P13">
        <v>12</v>
      </c>
      <c r="Q13">
        <v>1.35E-2</v>
      </c>
    </row>
    <row r="14" spans="1:17">
      <c r="A14">
        <v>30</v>
      </c>
      <c r="B14">
        <v>1</v>
      </c>
      <c r="C14" t="s">
        <v>425</v>
      </c>
      <c r="D14">
        <v>6.7000000000000002E-3</v>
      </c>
      <c r="E14">
        <v>1.5E-3</v>
      </c>
      <c r="F14">
        <v>0.1</v>
      </c>
      <c r="G14">
        <v>12</v>
      </c>
      <c r="I14">
        <v>13.9</v>
      </c>
      <c r="J14">
        <v>28.4</v>
      </c>
      <c r="K14">
        <v>22.5</v>
      </c>
      <c r="L14">
        <v>15.3</v>
      </c>
      <c r="M14">
        <v>0.79400000000000004</v>
      </c>
      <c r="N14">
        <v>1.177</v>
      </c>
      <c r="O14">
        <v>6</v>
      </c>
      <c r="P14">
        <v>14.5</v>
      </c>
      <c r="Q14">
        <v>1.4999999999999999E-2</v>
      </c>
    </row>
    <row r="15" spans="1:17">
      <c r="A15">
        <v>45</v>
      </c>
      <c r="B15">
        <v>1</v>
      </c>
      <c r="C15" t="s">
        <v>425</v>
      </c>
      <c r="D15">
        <v>6.7000000000000002E-3</v>
      </c>
      <c r="E15">
        <v>1.5E-3</v>
      </c>
      <c r="F15">
        <v>0.1</v>
      </c>
      <c r="G15">
        <v>12</v>
      </c>
      <c r="I15">
        <v>13.9</v>
      </c>
      <c r="J15">
        <v>28.4</v>
      </c>
      <c r="K15">
        <v>22.5</v>
      </c>
      <c r="L15">
        <v>15.3</v>
      </c>
      <c r="M15">
        <v>0.65800000000000003</v>
      </c>
      <c r="N15">
        <v>1.1819999999999999</v>
      </c>
      <c r="O15">
        <v>5</v>
      </c>
      <c r="P15">
        <v>12.5</v>
      </c>
      <c r="Q15">
        <v>1.4999999999999999E-2</v>
      </c>
    </row>
    <row r="16" spans="1:17">
      <c r="A16">
        <v>60</v>
      </c>
      <c r="B16">
        <v>1</v>
      </c>
      <c r="C16" t="s">
        <v>425</v>
      </c>
      <c r="D16">
        <v>6.7000000000000002E-3</v>
      </c>
      <c r="E16">
        <v>1.5E-3</v>
      </c>
      <c r="F16">
        <v>0.1</v>
      </c>
      <c r="G16">
        <v>12</v>
      </c>
      <c r="I16">
        <v>13.9</v>
      </c>
      <c r="J16">
        <v>28.4</v>
      </c>
      <c r="K16">
        <v>22.5</v>
      </c>
      <c r="L16">
        <v>15.3</v>
      </c>
      <c r="M16">
        <v>0.502</v>
      </c>
      <c r="N16">
        <v>1.165</v>
      </c>
      <c r="O16">
        <v>5.5</v>
      </c>
      <c r="P16">
        <v>11</v>
      </c>
      <c r="Q16">
        <v>1.4999999999999999E-2</v>
      </c>
    </row>
    <row r="17" spans="1:17">
      <c r="A17">
        <v>60</v>
      </c>
      <c r="B17">
        <v>1</v>
      </c>
      <c r="C17" t="s">
        <v>425</v>
      </c>
      <c r="D17">
        <v>6.7000000000000002E-3</v>
      </c>
      <c r="E17">
        <v>1.5E-3</v>
      </c>
      <c r="F17">
        <v>0.1</v>
      </c>
      <c r="G17">
        <v>12</v>
      </c>
      <c r="I17">
        <v>13.9</v>
      </c>
      <c r="J17">
        <v>28.4</v>
      </c>
      <c r="K17">
        <v>22.5</v>
      </c>
      <c r="L17">
        <v>15.3</v>
      </c>
      <c r="M17">
        <v>0.502</v>
      </c>
      <c r="N17">
        <v>1.165</v>
      </c>
      <c r="O17">
        <v>5.5</v>
      </c>
      <c r="P17">
        <v>10.5</v>
      </c>
      <c r="Q17">
        <v>1.4500000000000001E-2</v>
      </c>
    </row>
    <row r="18" spans="1:17">
      <c r="A18">
        <v>70</v>
      </c>
      <c r="B18">
        <v>1</v>
      </c>
      <c r="C18" t="s">
        <v>425</v>
      </c>
      <c r="D18">
        <v>6.7000000000000002E-3</v>
      </c>
      <c r="E18">
        <v>1.5E-3</v>
      </c>
      <c r="F18">
        <v>0.1</v>
      </c>
      <c r="G18">
        <v>12</v>
      </c>
      <c r="I18">
        <v>13.9</v>
      </c>
      <c r="J18">
        <v>28.4</v>
      </c>
      <c r="K18">
        <v>22.5</v>
      </c>
      <c r="L18">
        <v>15.3</v>
      </c>
      <c r="M18">
        <v>0.36299999999999999</v>
      </c>
      <c r="N18">
        <v>1.1399999999999999</v>
      </c>
      <c r="O18">
        <v>4.5</v>
      </c>
      <c r="P18">
        <v>7.5</v>
      </c>
      <c r="Q18">
        <v>1.4999999999999999E-2</v>
      </c>
    </row>
    <row r="19" spans="1:17">
      <c r="A19">
        <v>60</v>
      </c>
      <c r="B19">
        <v>1</v>
      </c>
      <c r="C19" t="s">
        <v>448</v>
      </c>
      <c r="D19">
        <v>6.7000000000000002E-3</v>
      </c>
      <c r="E19">
        <v>0.01</v>
      </c>
      <c r="F19">
        <v>0.1</v>
      </c>
      <c r="G19">
        <v>12</v>
      </c>
      <c r="I19">
        <v>13.7</v>
      </c>
      <c r="J19">
        <v>28.3</v>
      </c>
      <c r="K19">
        <v>22.7</v>
      </c>
      <c r="L19">
        <v>11.5</v>
      </c>
      <c r="M19">
        <v>0.49199999999999999</v>
      </c>
      <c r="N19">
        <v>1.171</v>
      </c>
      <c r="O19">
        <v>5</v>
      </c>
      <c r="P19">
        <v>9.5</v>
      </c>
      <c r="Q19">
        <v>1.4500000000000001E-2</v>
      </c>
    </row>
    <row r="20" spans="1:17">
      <c r="A20">
        <v>60</v>
      </c>
      <c r="B20">
        <v>1</v>
      </c>
      <c r="C20" t="s">
        <v>449</v>
      </c>
      <c r="D20">
        <v>6.7000000000000002E-3</v>
      </c>
      <c r="E20">
        <v>0.02</v>
      </c>
      <c r="F20">
        <v>0.1</v>
      </c>
      <c r="G20">
        <v>12</v>
      </c>
      <c r="I20">
        <v>13.4</v>
      </c>
      <c r="J20">
        <v>27.5</v>
      </c>
      <c r="K20">
        <v>22.7</v>
      </c>
      <c r="L20">
        <v>7.8</v>
      </c>
      <c r="M20">
        <v>0.48799999999999999</v>
      </c>
      <c r="N20">
        <v>1.177</v>
      </c>
      <c r="O20">
        <v>5</v>
      </c>
      <c r="P20">
        <v>9.5</v>
      </c>
      <c r="Q20">
        <v>1.55E-2</v>
      </c>
    </row>
    <row r="21" spans="1:17">
      <c r="A21">
        <v>60</v>
      </c>
      <c r="B21">
        <v>1</v>
      </c>
      <c r="C21" t="s">
        <v>432</v>
      </c>
      <c r="D21">
        <v>0.01</v>
      </c>
      <c r="E21">
        <v>1.5E-3</v>
      </c>
      <c r="F21">
        <v>0.12</v>
      </c>
      <c r="G21">
        <v>12</v>
      </c>
      <c r="I21">
        <v>13.8</v>
      </c>
      <c r="J21">
        <v>28.4</v>
      </c>
      <c r="K21">
        <v>27.2</v>
      </c>
      <c r="L21">
        <v>18.7</v>
      </c>
      <c r="M21">
        <v>0.499</v>
      </c>
      <c r="N21">
        <v>1.173</v>
      </c>
      <c r="O21">
        <v>6</v>
      </c>
      <c r="P21">
        <v>11</v>
      </c>
      <c r="Q21">
        <v>1.55E-2</v>
      </c>
    </row>
    <row r="22" spans="1:17">
      <c r="A22">
        <v>30</v>
      </c>
      <c r="B22">
        <v>1</v>
      </c>
      <c r="C22" t="s">
        <v>426</v>
      </c>
      <c r="D22">
        <v>6.7000000000000002E-3</v>
      </c>
      <c r="E22">
        <v>1.5E-3</v>
      </c>
      <c r="F22">
        <v>0.1</v>
      </c>
      <c r="G22">
        <v>15</v>
      </c>
      <c r="I22">
        <v>17.100000000000001</v>
      </c>
      <c r="J22">
        <v>35.299999999999997</v>
      </c>
      <c r="K22">
        <v>22.7</v>
      </c>
      <c r="L22">
        <v>13.4</v>
      </c>
      <c r="M22">
        <v>0.79</v>
      </c>
      <c r="N22">
        <v>1.218</v>
      </c>
      <c r="O22">
        <v>7.5</v>
      </c>
      <c r="P22">
        <v>19.5</v>
      </c>
      <c r="Q22">
        <v>1.4E-2</v>
      </c>
    </row>
    <row r="23" spans="1:17">
      <c r="A23">
        <v>45</v>
      </c>
      <c r="B23">
        <v>1</v>
      </c>
      <c r="C23" t="s">
        <v>426</v>
      </c>
      <c r="D23">
        <v>6.7000000000000002E-3</v>
      </c>
      <c r="E23">
        <v>1.5E-3</v>
      </c>
      <c r="F23">
        <v>0.1</v>
      </c>
      <c r="G23">
        <v>15</v>
      </c>
      <c r="I23">
        <v>17.100000000000001</v>
      </c>
      <c r="J23">
        <v>35.299999999999997</v>
      </c>
      <c r="K23">
        <v>22.7</v>
      </c>
      <c r="L23">
        <v>13.4</v>
      </c>
      <c r="M23">
        <v>0.68500000000000005</v>
      </c>
      <c r="N23">
        <v>1.2330000000000001</v>
      </c>
      <c r="O23">
        <v>9.5</v>
      </c>
      <c r="P23">
        <v>19.5</v>
      </c>
      <c r="Q23">
        <v>1.4E-2</v>
      </c>
    </row>
    <row r="24" spans="1:17">
      <c r="A24">
        <v>60</v>
      </c>
      <c r="B24">
        <v>1</v>
      </c>
      <c r="C24" t="s">
        <v>426</v>
      </c>
      <c r="D24">
        <v>6.7000000000000002E-3</v>
      </c>
      <c r="E24">
        <v>1.5E-3</v>
      </c>
      <c r="F24">
        <v>0.1</v>
      </c>
      <c r="G24">
        <v>15</v>
      </c>
      <c r="I24">
        <v>17.100000000000001</v>
      </c>
      <c r="J24">
        <v>35.299999999999997</v>
      </c>
      <c r="K24">
        <v>22.7</v>
      </c>
      <c r="L24">
        <v>13.4</v>
      </c>
      <c r="M24">
        <v>0.52400000000000002</v>
      </c>
      <c r="N24">
        <v>1.22</v>
      </c>
      <c r="O24">
        <v>8.5</v>
      </c>
      <c r="P24">
        <v>15.5</v>
      </c>
      <c r="Q24">
        <v>1.6E-2</v>
      </c>
    </row>
    <row r="25" spans="1:17">
      <c r="A25">
        <v>70</v>
      </c>
      <c r="B25">
        <v>1</v>
      </c>
      <c r="C25" t="s">
        <v>426</v>
      </c>
      <c r="D25">
        <v>6.7000000000000002E-3</v>
      </c>
      <c r="E25">
        <v>1.5E-3</v>
      </c>
      <c r="F25">
        <v>0.1</v>
      </c>
      <c r="G25">
        <v>15</v>
      </c>
      <c r="I25">
        <v>17.100000000000001</v>
      </c>
      <c r="J25">
        <v>35.299999999999997</v>
      </c>
      <c r="K25">
        <v>22.7</v>
      </c>
      <c r="L25">
        <v>13.4</v>
      </c>
      <c r="M25">
        <v>0.40500000000000003</v>
      </c>
      <c r="N25">
        <v>1.196</v>
      </c>
      <c r="O25">
        <v>8.5</v>
      </c>
      <c r="P25">
        <v>12.5</v>
      </c>
      <c r="Q25">
        <v>1.4999999999999999E-2</v>
      </c>
    </row>
    <row r="26" spans="1:17">
      <c r="A26">
        <v>30</v>
      </c>
      <c r="B26">
        <v>1</v>
      </c>
      <c r="C26" t="s">
        <v>427</v>
      </c>
      <c r="D26">
        <v>6.7000000000000002E-3</v>
      </c>
      <c r="E26">
        <v>1.5E-3</v>
      </c>
      <c r="F26">
        <v>0.1</v>
      </c>
      <c r="G26">
        <v>18</v>
      </c>
      <c r="I26">
        <v>20.5</v>
      </c>
      <c r="J26">
        <v>42.2</v>
      </c>
      <c r="K26">
        <v>22.6</v>
      </c>
      <c r="L26">
        <v>14.7</v>
      </c>
      <c r="M26">
        <v>0.80300000000000005</v>
      </c>
      <c r="N26">
        <v>1.244</v>
      </c>
      <c r="O26">
        <v>11.5</v>
      </c>
      <c r="P26">
        <v>25</v>
      </c>
      <c r="Q26">
        <v>1.6E-2</v>
      </c>
    </row>
    <row r="27" spans="1:17">
      <c r="A27">
        <v>45</v>
      </c>
      <c r="B27">
        <v>1</v>
      </c>
      <c r="C27" t="s">
        <v>427</v>
      </c>
      <c r="D27">
        <v>6.7000000000000002E-3</v>
      </c>
      <c r="E27">
        <v>1.5E-3</v>
      </c>
      <c r="F27">
        <v>0.1</v>
      </c>
      <c r="G27">
        <v>18</v>
      </c>
      <c r="I27">
        <v>20.5</v>
      </c>
      <c r="J27">
        <v>42.2</v>
      </c>
      <c r="K27">
        <v>22.6</v>
      </c>
      <c r="L27">
        <v>14.7</v>
      </c>
      <c r="M27">
        <v>0.66900000000000004</v>
      </c>
      <c r="N27">
        <v>1.2849999999999999</v>
      </c>
      <c r="O27">
        <v>9.5</v>
      </c>
      <c r="P27">
        <v>20</v>
      </c>
      <c r="Q27">
        <v>1.35E-2</v>
      </c>
    </row>
    <row r="28" spans="1:17">
      <c r="A28">
        <v>60</v>
      </c>
      <c r="B28">
        <v>1</v>
      </c>
      <c r="C28" t="s">
        <v>427</v>
      </c>
      <c r="D28">
        <v>6.7000000000000002E-3</v>
      </c>
      <c r="E28">
        <v>1.5E-3</v>
      </c>
      <c r="F28">
        <v>0.1</v>
      </c>
      <c r="G28">
        <v>18</v>
      </c>
      <c r="I28">
        <v>20.5</v>
      </c>
      <c r="J28">
        <v>42.2</v>
      </c>
      <c r="K28">
        <v>22.6</v>
      </c>
      <c r="L28">
        <v>14.7</v>
      </c>
      <c r="M28">
        <v>0.52500000000000002</v>
      </c>
      <c r="N28">
        <v>1.278</v>
      </c>
      <c r="O28">
        <v>10</v>
      </c>
      <c r="P28">
        <v>17.5</v>
      </c>
      <c r="Q28">
        <v>1.4500000000000001E-2</v>
      </c>
    </row>
    <row r="29" spans="1:17">
      <c r="A29">
        <v>45</v>
      </c>
      <c r="B29">
        <v>1</v>
      </c>
      <c r="C29" t="s">
        <v>428</v>
      </c>
      <c r="D29">
        <v>6.7000000000000002E-3</v>
      </c>
      <c r="E29">
        <v>1.5E-3</v>
      </c>
      <c r="F29">
        <v>0.1</v>
      </c>
      <c r="G29">
        <v>21</v>
      </c>
      <c r="I29">
        <v>23.8</v>
      </c>
      <c r="J29">
        <v>48.9</v>
      </c>
      <c r="K29">
        <v>22.4</v>
      </c>
      <c r="L29">
        <v>14.4</v>
      </c>
      <c r="M29">
        <v>0.70399999999999996</v>
      </c>
      <c r="N29">
        <v>1.33</v>
      </c>
      <c r="O29">
        <v>15.5</v>
      </c>
      <c r="P29">
        <v>29</v>
      </c>
      <c r="Q29">
        <v>1.6500000000000001E-2</v>
      </c>
    </row>
    <row r="30" spans="1:17">
      <c r="A30">
        <v>60</v>
      </c>
      <c r="B30">
        <v>1</v>
      </c>
      <c r="C30" t="s">
        <v>428</v>
      </c>
      <c r="D30">
        <v>6.7000000000000002E-3</v>
      </c>
      <c r="E30">
        <v>1.5E-3</v>
      </c>
      <c r="F30">
        <v>0.1</v>
      </c>
      <c r="G30">
        <v>21</v>
      </c>
      <c r="I30">
        <v>23.8</v>
      </c>
      <c r="J30">
        <v>48.9</v>
      </c>
      <c r="K30">
        <v>22.4</v>
      </c>
      <c r="L30">
        <v>14.4</v>
      </c>
      <c r="M30">
        <v>0.54200000000000004</v>
      </c>
      <c r="N30">
        <v>1.335</v>
      </c>
      <c r="O30">
        <v>13</v>
      </c>
      <c r="P30">
        <v>20.5</v>
      </c>
      <c r="Q30">
        <v>2.2499999999999999E-2</v>
      </c>
    </row>
    <row r="31" spans="1:17">
      <c r="A31">
        <v>45</v>
      </c>
      <c r="B31">
        <v>1</v>
      </c>
      <c r="C31" t="s">
        <v>429</v>
      </c>
      <c r="D31">
        <v>6.7000000000000002E-3</v>
      </c>
      <c r="E31">
        <v>1.5E-3</v>
      </c>
      <c r="F31">
        <v>0.1</v>
      </c>
      <c r="G31">
        <v>24</v>
      </c>
      <c r="I31">
        <v>27.1</v>
      </c>
      <c r="J31">
        <v>55.5</v>
      </c>
      <c r="K31">
        <v>22.3</v>
      </c>
      <c r="L31">
        <v>14.1</v>
      </c>
      <c r="M31">
        <v>0.70799999999999996</v>
      </c>
      <c r="N31">
        <v>1.377</v>
      </c>
      <c r="O31">
        <v>18</v>
      </c>
      <c r="P31">
        <v>33.5</v>
      </c>
      <c r="Q31">
        <v>1.6500000000000001E-2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enableFormatConditionsCalculation="0">
    <tabColor indexed="34"/>
  </sheetPr>
  <dimension ref="A1:Q10"/>
  <sheetViews>
    <sheetView workbookViewId="0">
      <selection activeCell="A3" sqref="A3:Q3"/>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30</v>
      </c>
      <c r="B2">
        <v>1.25</v>
      </c>
      <c r="C2" t="s">
        <v>510</v>
      </c>
      <c r="D2">
        <v>6.7000000000000002E-3</v>
      </c>
      <c r="E2">
        <v>1.5E-3</v>
      </c>
      <c r="F2">
        <v>0.1</v>
      </c>
      <c r="G2">
        <v>4</v>
      </c>
      <c r="I2">
        <v>4.5999999999999996</v>
      </c>
      <c r="J2">
        <v>9.5</v>
      </c>
      <c r="K2">
        <v>22.8</v>
      </c>
      <c r="L2">
        <v>15.6</v>
      </c>
      <c r="M2">
        <v>0.72260000000000002</v>
      </c>
      <c r="N2">
        <v>1.115</v>
      </c>
      <c r="O2">
        <v>-3</v>
      </c>
      <c r="P2">
        <v>0</v>
      </c>
      <c r="Q2">
        <v>1.2999999999999999E-2</v>
      </c>
    </row>
    <row r="3" spans="1:17">
      <c r="A3">
        <v>70</v>
      </c>
      <c r="B3">
        <v>1.25</v>
      </c>
      <c r="C3" t="s">
        <v>424</v>
      </c>
      <c r="D3">
        <v>6.7000000000000002E-3</v>
      </c>
      <c r="E3">
        <v>1.5E-3</v>
      </c>
      <c r="F3">
        <v>0.1</v>
      </c>
      <c r="G3">
        <v>8</v>
      </c>
      <c r="I3">
        <v>9.1999999999999993</v>
      </c>
      <c r="J3">
        <v>19</v>
      </c>
      <c r="K3">
        <v>22.8</v>
      </c>
      <c r="L3">
        <v>15.4</v>
      </c>
      <c r="M3">
        <v>0.34599999999999997</v>
      </c>
      <c r="N3">
        <v>1.2350000000000001</v>
      </c>
      <c r="O3">
        <v>6</v>
      </c>
      <c r="P3">
        <v>8</v>
      </c>
      <c r="Q3">
        <v>0.01</v>
      </c>
    </row>
    <row r="4" spans="1:17">
      <c r="A4">
        <v>30</v>
      </c>
      <c r="B4">
        <v>1.25</v>
      </c>
      <c r="C4" t="s">
        <v>425</v>
      </c>
      <c r="D4">
        <v>6.7000000000000002E-3</v>
      </c>
      <c r="E4">
        <v>1.5E-3</v>
      </c>
      <c r="F4">
        <v>0.1</v>
      </c>
      <c r="G4">
        <v>12</v>
      </c>
      <c r="I4">
        <v>13.9</v>
      </c>
      <c r="J4">
        <v>28.4</v>
      </c>
      <c r="K4">
        <v>22.5</v>
      </c>
      <c r="L4">
        <v>15.3</v>
      </c>
      <c r="M4">
        <v>0.76800000000000002</v>
      </c>
      <c r="N4">
        <v>1.232</v>
      </c>
      <c r="O4">
        <v>7.5</v>
      </c>
      <c r="P4">
        <v>17.5</v>
      </c>
      <c r="Q4">
        <v>1.55E-2</v>
      </c>
    </row>
    <row r="5" spans="1:17">
      <c r="A5">
        <v>45</v>
      </c>
      <c r="B5">
        <v>1.25</v>
      </c>
      <c r="C5" t="s">
        <v>425</v>
      </c>
      <c r="D5">
        <v>6.7000000000000002E-3</v>
      </c>
      <c r="E5">
        <v>1.5E-3</v>
      </c>
      <c r="F5">
        <v>0.1</v>
      </c>
      <c r="G5">
        <v>12</v>
      </c>
      <c r="I5">
        <v>13.9</v>
      </c>
      <c r="J5">
        <v>28.4</v>
      </c>
      <c r="K5">
        <v>22.5</v>
      </c>
      <c r="L5">
        <v>15.3</v>
      </c>
      <c r="M5">
        <v>0.63900000000000001</v>
      </c>
      <c r="N5">
        <v>1.2669999999999999</v>
      </c>
      <c r="O5">
        <v>7</v>
      </c>
      <c r="P5">
        <v>15</v>
      </c>
      <c r="Q5">
        <v>1.4999999999999999E-2</v>
      </c>
    </row>
    <row r="6" spans="1:17">
      <c r="A6">
        <v>60</v>
      </c>
      <c r="B6">
        <v>1.25</v>
      </c>
      <c r="C6" t="s">
        <v>425</v>
      </c>
      <c r="D6">
        <v>6.7000000000000002E-3</v>
      </c>
      <c r="E6">
        <v>1.5E-3</v>
      </c>
      <c r="F6">
        <v>0.1</v>
      </c>
      <c r="G6">
        <v>12</v>
      </c>
      <c r="I6">
        <v>13.9</v>
      </c>
      <c r="J6">
        <v>28.4</v>
      </c>
      <c r="K6">
        <v>22.5</v>
      </c>
      <c r="L6">
        <v>15.3</v>
      </c>
      <c r="M6">
        <v>0.49399999999999999</v>
      </c>
      <c r="N6">
        <v>1.3069999999999999</v>
      </c>
      <c r="O6">
        <v>9</v>
      </c>
      <c r="P6">
        <v>14</v>
      </c>
      <c r="Q6">
        <v>1.2E-2</v>
      </c>
    </row>
    <row r="7" spans="1:17">
      <c r="A7">
        <v>70</v>
      </c>
      <c r="B7">
        <v>1.25</v>
      </c>
      <c r="C7" t="s">
        <v>425</v>
      </c>
      <c r="D7">
        <v>6.7000000000000002E-3</v>
      </c>
      <c r="E7">
        <v>1.5E-3</v>
      </c>
      <c r="F7">
        <v>0.1</v>
      </c>
      <c r="G7">
        <v>12</v>
      </c>
      <c r="I7">
        <v>13.9</v>
      </c>
      <c r="J7">
        <v>28.4</v>
      </c>
      <c r="K7">
        <v>22.5</v>
      </c>
      <c r="L7">
        <v>15.3</v>
      </c>
      <c r="M7">
        <v>0.36399999999999999</v>
      </c>
      <c r="N7">
        <v>1.3680000000000001</v>
      </c>
      <c r="O7">
        <v>9</v>
      </c>
      <c r="P7">
        <v>12.5</v>
      </c>
      <c r="Q7">
        <v>1.2999999999999999E-2</v>
      </c>
    </row>
    <row r="8" spans="1:17">
      <c r="A8">
        <v>30</v>
      </c>
      <c r="B8">
        <v>1.25</v>
      </c>
      <c r="C8" t="s">
        <v>427</v>
      </c>
      <c r="D8">
        <v>6.7000000000000002E-3</v>
      </c>
      <c r="E8">
        <v>1.5E-3</v>
      </c>
      <c r="F8">
        <v>0.1</v>
      </c>
      <c r="G8">
        <v>18</v>
      </c>
      <c r="I8">
        <v>20.5</v>
      </c>
      <c r="J8">
        <v>42.2</v>
      </c>
      <c r="K8">
        <v>22.6</v>
      </c>
      <c r="L8">
        <v>14.7</v>
      </c>
      <c r="M8">
        <v>0.78300000000000003</v>
      </c>
      <c r="N8">
        <v>1.2749999999999999</v>
      </c>
      <c r="O8">
        <v>12.5</v>
      </c>
      <c r="P8">
        <v>27</v>
      </c>
      <c r="Q8">
        <v>1.55E-2</v>
      </c>
    </row>
    <row r="9" spans="1:17">
      <c r="A9">
        <v>45</v>
      </c>
      <c r="B9">
        <v>1.25</v>
      </c>
      <c r="C9" t="s">
        <v>427</v>
      </c>
      <c r="D9">
        <v>6.7000000000000002E-3</v>
      </c>
      <c r="E9">
        <v>1.5E-3</v>
      </c>
      <c r="F9">
        <v>0.1</v>
      </c>
      <c r="G9">
        <v>18</v>
      </c>
      <c r="I9">
        <v>20.5</v>
      </c>
      <c r="J9">
        <v>42.2</v>
      </c>
      <c r="K9">
        <v>22.6</v>
      </c>
      <c r="L9">
        <v>14.7</v>
      </c>
      <c r="M9">
        <v>0.67900000000000005</v>
      </c>
      <c r="N9">
        <v>1.375</v>
      </c>
      <c r="O9">
        <v>15</v>
      </c>
      <c r="P9">
        <v>27.5</v>
      </c>
      <c r="Q9">
        <v>1.6E-2</v>
      </c>
    </row>
    <row r="10" spans="1:17">
      <c r="A10">
        <v>60</v>
      </c>
      <c r="B10">
        <v>1.25</v>
      </c>
      <c r="C10" t="s">
        <v>427</v>
      </c>
      <c r="D10">
        <v>6.7000000000000002E-3</v>
      </c>
      <c r="E10">
        <v>1.5E-3</v>
      </c>
      <c r="F10">
        <v>0.1</v>
      </c>
      <c r="G10">
        <v>18</v>
      </c>
      <c r="I10">
        <v>20.5</v>
      </c>
      <c r="J10">
        <v>42.2</v>
      </c>
      <c r="K10">
        <v>22.6</v>
      </c>
      <c r="L10">
        <v>14.7</v>
      </c>
      <c r="M10">
        <v>0.52500000000000002</v>
      </c>
      <c r="N10">
        <v>1.4590000000000001</v>
      </c>
      <c r="O10">
        <v>15</v>
      </c>
      <c r="P10">
        <v>23.5</v>
      </c>
      <c r="Q10">
        <v>1.4E-2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enableFormatConditionsCalculation="0">
    <tabColor indexed="34"/>
  </sheetPr>
  <dimension ref="A1:Q40"/>
  <sheetViews>
    <sheetView workbookViewId="0">
      <selection activeCell="A3" sqref="A3:Q3"/>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60</v>
      </c>
      <c r="B2">
        <v>1.5</v>
      </c>
      <c r="C2" t="s">
        <v>445</v>
      </c>
      <c r="D2">
        <v>2.3999999999999998E-3</v>
      </c>
      <c r="E2">
        <v>0.01</v>
      </c>
      <c r="F2">
        <v>0.06</v>
      </c>
      <c r="G2">
        <v>4</v>
      </c>
      <c r="I2">
        <v>4.5999999999999996</v>
      </c>
      <c r="J2">
        <v>9.5</v>
      </c>
      <c r="K2">
        <v>13.4</v>
      </c>
      <c r="L2">
        <v>5.3</v>
      </c>
      <c r="M2">
        <v>0.47099999999999997</v>
      </c>
      <c r="N2">
        <v>1.1100000000000001</v>
      </c>
      <c r="O2">
        <v>3.5</v>
      </c>
      <c r="P2">
        <v>6</v>
      </c>
      <c r="Q2">
        <v>8.9999999999999993E-3</v>
      </c>
    </row>
    <row r="3" spans="1:17">
      <c r="A3">
        <v>70</v>
      </c>
      <c r="B3">
        <v>1.5</v>
      </c>
      <c r="C3" t="s">
        <v>445</v>
      </c>
      <c r="D3">
        <v>2.3999999999999998E-3</v>
      </c>
      <c r="E3">
        <v>0.01</v>
      </c>
      <c r="F3">
        <v>0.06</v>
      </c>
      <c r="G3">
        <v>4</v>
      </c>
      <c r="I3">
        <v>4.5999999999999996</v>
      </c>
      <c r="J3">
        <v>9.5</v>
      </c>
      <c r="K3">
        <v>13.4</v>
      </c>
      <c r="L3">
        <v>5.3</v>
      </c>
      <c r="M3">
        <v>0.32300000000000001</v>
      </c>
      <c r="N3">
        <v>1.145</v>
      </c>
      <c r="O3">
        <v>3.5</v>
      </c>
      <c r="P3">
        <v>5</v>
      </c>
      <c r="Q3">
        <v>8.9999999999999993E-3</v>
      </c>
    </row>
    <row r="4" spans="1:17">
      <c r="A4">
        <v>30</v>
      </c>
      <c r="B4">
        <v>1.5</v>
      </c>
      <c r="C4" t="s">
        <v>510</v>
      </c>
      <c r="D4">
        <v>6.7000000000000002E-3</v>
      </c>
      <c r="E4">
        <v>1.5E-3</v>
      </c>
      <c r="F4">
        <v>0.1</v>
      </c>
      <c r="G4">
        <v>4</v>
      </c>
      <c r="I4">
        <v>4.5999999999999996</v>
      </c>
      <c r="J4">
        <v>9.5</v>
      </c>
      <c r="K4">
        <v>22.8</v>
      </c>
      <c r="L4">
        <v>15.6</v>
      </c>
      <c r="M4">
        <v>0.68799999999999994</v>
      </c>
      <c r="N4">
        <v>1.163</v>
      </c>
      <c r="O4">
        <v>-4</v>
      </c>
      <c r="P4">
        <v>-1.5</v>
      </c>
      <c r="Q4">
        <v>1.4E-2</v>
      </c>
    </row>
    <row r="5" spans="1:17">
      <c r="A5">
        <v>45</v>
      </c>
      <c r="B5">
        <v>1.5</v>
      </c>
      <c r="C5" t="s">
        <v>510</v>
      </c>
      <c r="D5">
        <v>6.7000000000000002E-3</v>
      </c>
      <c r="E5">
        <v>1.5E-3</v>
      </c>
      <c r="F5">
        <v>0.1</v>
      </c>
      <c r="G5">
        <v>4</v>
      </c>
      <c r="I5">
        <v>4.5999999999999996</v>
      </c>
      <c r="J5">
        <v>9.5</v>
      </c>
      <c r="K5">
        <v>22.8</v>
      </c>
      <c r="L5">
        <v>15.6</v>
      </c>
      <c r="M5">
        <v>0.56399999999999995</v>
      </c>
      <c r="N5">
        <v>1.1619999999999999</v>
      </c>
      <c r="O5">
        <v>-1</v>
      </c>
      <c r="P5">
        <v>2</v>
      </c>
      <c r="Q5">
        <v>1.15E-2</v>
      </c>
    </row>
    <row r="6" spans="1:17">
      <c r="A6">
        <v>70</v>
      </c>
      <c r="B6">
        <v>1.5</v>
      </c>
      <c r="C6" t="s">
        <v>510</v>
      </c>
      <c r="D6">
        <v>6.7000000000000002E-3</v>
      </c>
      <c r="E6">
        <v>1.5E-3</v>
      </c>
      <c r="F6">
        <v>0.1</v>
      </c>
      <c r="G6">
        <v>4</v>
      </c>
      <c r="I6">
        <v>4.5999999999999996</v>
      </c>
      <c r="J6">
        <v>9.5</v>
      </c>
      <c r="K6">
        <v>22.8</v>
      </c>
      <c r="L6">
        <v>15.6</v>
      </c>
      <c r="M6">
        <v>0.26</v>
      </c>
      <c r="N6">
        <v>1.2490000000000001</v>
      </c>
      <c r="O6">
        <v>1.5</v>
      </c>
      <c r="P6">
        <v>0.5</v>
      </c>
      <c r="Q6">
        <v>1.0500000000000001E-2</v>
      </c>
    </row>
    <row r="7" spans="1:17">
      <c r="A7">
        <v>60</v>
      </c>
      <c r="B7">
        <v>1.5</v>
      </c>
      <c r="C7" t="s">
        <v>446</v>
      </c>
      <c r="D7">
        <v>2.3999999999999998E-3</v>
      </c>
      <c r="E7">
        <v>0.01</v>
      </c>
      <c r="F7">
        <v>0.06</v>
      </c>
      <c r="G7">
        <v>8</v>
      </c>
      <c r="I7">
        <v>9.1999999999999993</v>
      </c>
      <c r="J7">
        <v>19</v>
      </c>
      <c r="K7">
        <v>13.4</v>
      </c>
      <c r="L7">
        <v>5.2</v>
      </c>
      <c r="M7">
        <v>0.46300000000000002</v>
      </c>
      <c r="N7">
        <v>1.242</v>
      </c>
      <c r="O7">
        <v>5</v>
      </c>
      <c r="P7">
        <v>10</v>
      </c>
      <c r="Q7">
        <v>0.01</v>
      </c>
    </row>
    <row r="8" spans="1:17">
      <c r="A8">
        <v>70</v>
      </c>
      <c r="B8">
        <v>1.5</v>
      </c>
      <c r="C8" t="s">
        <v>446</v>
      </c>
      <c r="D8">
        <v>2.3999999999999998E-3</v>
      </c>
      <c r="E8">
        <v>0.01</v>
      </c>
      <c r="F8">
        <v>0.06</v>
      </c>
      <c r="G8">
        <v>8</v>
      </c>
      <c r="I8">
        <v>9.1999999999999993</v>
      </c>
      <c r="J8">
        <v>19</v>
      </c>
      <c r="K8">
        <v>13.4</v>
      </c>
      <c r="L8">
        <v>5.2</v>
      </c>
      <c r="M8">
        <v>0.32500000000000001</v>
      </c>
      <c r="N8">
        <v>1.327</v>
      </c>
      <c r="O8">
        <v>5.5</v>
      </c>
      <c r="P8">
        <v>10</v>
      </c>
      <c r="Q8">
        <v>1.2999999999999999E-2</v>
      </c>
    </row>
    <row r="9" spans="1:17">
      <c r="A9">
        <v>30</v>
      </c>
      <c r="B9">
        <v>1.5</v>
      </c>
      <c r="C9" t="s">
        <v>424</v>
      </c>
      <c r="D9">
        <v>6.7000000000000002E-3</v>
      </c>
      <c r="E9">
        <v>1.5E-3</v>
      </c>
      <c r="F9">
        <v>0.1</v>
      </c>
      <c r="G9">
        <v>8</v>
      </c>
      <c r="I9">
        <v>9.1999999999999993</v>
      </c>
      <c r="J9">
        <v>19</v>
      </c>
      <c r="K9">
        <v>22.8</v>
      </c>
      <c r="L9">
        <v>15.4</v>
      </c>
      <c r="M9">
        <v>0.71899999999999997</v>
      </c>
      <c r="N9">
        <v>1.228</v>
      </c>
      <c r="O9">
        <v>1</v>
      </c>
      <c r="P9">
        <v>7.5</v>
      </c>
      <c r="Q9">
        <v>1.4999999999999999E-2</v>
      </c>
    </row>
    <row r="10" spans="1:17">
      <c r="A10">
        <v>45</v>
      </c>
      <c r="B10">
        <v>1.5</v>
      </c>
      <c r="C10" t="s">
        <v>424</v>
      </c>
      <c r="D10">
        <v>6.7000000000000002E-3</v>
      </c>
      <c r="E10">
        <v>1.5E-3</v>
      </c>
      <c r="F10">
        <v>0.1</v>
      </c>
      <c r="G10">
        <v>8</v>
      </c>
      <c r="I10">
        <v>9.1999999999999993</v>
      </c>
      <c r="J10">
        <v>19</v>
      </c>
      <c r="K10">
        <v>22.8</v>
      </c>
      <c r="L10">
        <v>15.4</v>
      </c>
      <c r="M10">
        <v>0.57799999999999996</v>
      </c>
      <c r="N10">
        <v>1.258</v>
      </c>
      <c r="O10">
        <v>2</v>
      </c>
      <c r="P10">
        <v>8</v>
      </c>
      <c r="Q10">
        <v>1.55E-2</v>
      </c>
    </row>
    <row r="11" spans="1:17">
      <c r="A11">
        <v>60</v>
      </c>
      <c r="B11">
        <v>1.5</v>
      </c>
      <c r="C11" t="s">
        <v>424</v>
      </c>
      <c r="D11">
        <v>6.7000000000000002E-3</v>
      </c>
      <c r="E11">
        <v>1.5E-3</v>
      </c>
      <c r="F11">
        <v>0.1</v>
      </c>
      <c r="G11">
        <v>8</v>
      </c>
      <c r="I11">
        <v>9.1999999999999993</v>
      </c>
      <c r="J11">
        <v>19</v>
      </c>
      <c r="K11">
        <v>22.8</v>
      </c>
      <c r="L11">
        <v>15.4</v>
      </c>
      <c r="M11">
        <v>0.443</v>
      </c>
      <c r="N11">
        <v>1.306</v>
      </c>
      <c r="O11">
        <v>6</v>
      </c>
      <c r="P11">
        <v>9</v>
      </c>
      <c r="Q11">
        <v>1.0999999999999999E-2</v>
      </c>
    </row>
    <row r="12" spans="1:17">
      <c r="A12">
        <v>70</v>
      </c>
      <c r="B12">
        <v>1.5</v>
      </c>
      <c r="C12" t="s">
        <v>424</v>
      </c>
      <c r="D12">
        <v>6.7000000000000002E-3</v>
      </c>
      <c r="E12">
        <v>1.5E-3</v>
      </c>
      <c r="F12">
        <v>0.1</v>
      </c>
      <c r="G12">
        <v>8</v>
      </c>
      <c r="I12">
        <v>9.1999999999999993</v>
      </c>
      <c r="J12">
        <v>19</v>
      </c>
      <c r="K12">
        <v>22.8</v>
      </c>
      <c r="L12">
        <v>15.4</v>
      </c>
      <c r="M12">
        <v>0.317</v>
      </c>
      <c r="N12">
        <v>1.3939999999999999</v>
      </c>
      <c r="O12">
        <v>7</v>
      </c>
      <c r="P12">
        <v>8.5</v>
      </c>
      <c r="Q12">
        <v>1.15E-2</v>
      </c>
    </row>
    <row r="13" spans="1:17">
      <c r="A13">
        <v>45</v>
      </c>
      <c r="B13">
        <v>1.5</v>
      </c>
      <c r="C13" t="s">
        <v>430</v>
      </c>
      <c r="D13">
        <v>2.3999999999999998E-3</v>
      </c>
      <c r="E13">
        <v>1.5E-3</v>
      </c>
      <c r="F13">
        <v>0.06</v>
      </c>
      <c r="G13">
        <v>12</v>
      </c>
      <c r="I13">
        <v>13.8</v>
      </c>
      <c r="J13">
        <v>28.4</v>
      </c>
      <c r="K13">
        <v>13.3</v>
      </c>
      <c r="L13">
        <v>9.8000000000000007</v>
      </c>
      <c r="M13">
        <v>0.68600000000000005</v>
      </c>
      <c r="N13">
        <v>1.294</v>
      </c>
      <c r="O13">
        <v>11</v>
      </c>
      <c r="P13">
        <v>21</v>
      </c>
      <c r="Q13">
        <v>1.2E-2</v>
      </c>
    </row>
    <row r="14" spans="1:17">
      <c r="A14">
        <v>60</v>
      </c>
      <c r="B14">
        <v>1.5</v>
      </c>
      <c r="C14" t="s">
        <v>430</v>
      </c>
      <c r="D14">
        <v>2.3999999999999998E-3</v>
      </c>
      <c r="E14">
        <v>1.5E-3</v>
      </c>
      <c r="F14">
        <v>0.06</v>
      </c>
      <c r="G14">
        <v>12</v>
      </c>
      <c r="I14">
        <v>13.8</v>
      </c>
      <c r="J14">
        <v>28.4</v>
      </c>
      <c r="K14">
        <v>13.3</v>
      </c>
      <c r="L14">
        <v>9.8000000000000007</v>
      </c>
      <c r="M14">
        <v>0.498</v>
      </c>
      <c r="N14">
        <v>1.4019999999999999</v>
      </c>
      <c r="O14">
        <v>10</v>
      </c>
      <c r="P14">
        <v>17.5</v>
      </c>
      <c r="Q14">
        <v>1.2E-2</v>
      </c>
    </row>
    <row r="15" spans="1:17">
      <c r="A15">
        <v>60</v>
      </c>
      <c r="B15">
        <v>1.5</v>
      </c>
      <c r="C15" t="s">
        <v>447</v>
      </c>
      <c r="D15">
        <v>2.3999999999999998E-3</v>
      </c>
      <c r="E15">
        <v>0.01</v>
      </c>
      <c r="F15">
        <v>0.06</v>
      </c>
      <c r="G15">
        <v>12</v>
      </c>
      <c r="I15">
        <v>13.8</v>
      </c>
      <c r="J15">
        <v>28.4</v>
      </c>
      <c r="K15">
        <v>13.4</v>
      </c>
      <c r="L15">
        <v>5.2</v>
      </c>
      <c r="M15">
        <v>0.48499999999999999</v>
      </c>
      <c r="N15">
        <v>1.369</v>
      </c>
      <c r="O15">
        <v>9</v>
      </c>
      <c r="P15">
        <v>16.5</v>
      </c>
      <c r="Q15">
        <v>0.01</v>
      </c>
    </row>
    <row r="16" spans="1:17">
      <c r="A16">
        <v>70</v>
      </c>
      <c r="B16">
        <v>1.5</v>
      </c>
      <c r="C16" t="s">
        <v>447</v>
      </c>
      <c r="D16">
        <v>2.3999999999999998E-3</v>
      </c>
      <c r="E16">
        <v>0.01</v>
      </c>
      <c r="F16">
        <v>0.06</v>
      </c>
      <c r="G16">
        <v>12</v>
      </c>
      <c r="I16">
        <v>13.8</v>
      </c>
      <c r="J16">
        <v>28.4</v>
      </c>
      <c r="K16">
        <v>13.4</v>
      </c>
      <c r="L16">
        <v>5.2</v>
      </c>
      <c r="M16">
        <v>0.375</v>
      </c>
      <c r="N16">
        <v>1.46</v>
      </c>
      <c r="O16">
        <v>11</v>
      </c>
      <c r="P16">
        <v>17.5</v>
      </c>
      <c r="Q16">
        <v>1.0999999999999999E-2</v>
      </c>
    </row>
    <row r="17" spans="1:17">
      <c r="A17">
        <v>45</v>
      </c>
      <c r="B17">
        <v>1.5</v>
      </c>
      <c r="C17" t="s">
        <v>431</v>
      </c>
      <c r="D17">
        <v>4.3E-3</v>
      </c>
      <c r="E17">
        <v>1.5E-3</v>
      </c>
      <c r="F17">
        <v>0.08</v>
      </c>
      <c r="G17">
        <v>12</v>
      </c>
      <c r="I17">
        <v>13.8</v>
      </c>
      <c r="J17">
        <v>28.4</v>
      </c>
      <c r="K17">
        <v>17.899999999999999</v>
      </c>
      <c r="L17">
        <v>12.8</v>
      </c>
      <c r="M17">
        <v>0.64800000000000002</v>
      </c>
      <c r="N17">
        <v>1.3180000000000001</v>
      </c>
      <c r="O17">
        <v>9</v>
      </c>
      <c r="P17">
        <v>19.5</v>
      </c>
      <c r="Q17">
        <v>1.35E-2</v>
      </c>
    </row>
    <row r="18" spans="1:17">
      <c r="A18">
        <v>60</v>
      </c>
      <c r="B18">
        <v>1.5</v>
      </c>
      <c r="C18" t="s">
        <v>431</v>
      </c>
      <c r="D18">
        <v>4.3E-3</v>
      </c>
      <c r="E18">
        <v>1.5E-3</v>
      </c>
      <c r="F18">
        <v>0.08</v>
      </c>
      <c r="G18">
        <v>12</v>
      </c>
      <c r="I18">
        <v>13.8</v>
      </c>
      <c r="J18">
        <v>28.4</v>
      </c>
      <c r="K18">
        <v>17.899999999999999</v>
      </c>
      <c r="L18">
        <v>12.8</v>
      </c>
      <c r="M18">
        <v>0.48199999999999998</v>
      </c>
      <c r="N18">
        <v>1.4179999999999999</v>
      </c>
      <c r="O18">
        <v>10</v>
      </c>
      <c r="P18">
        <v>17</v>
      </c>
      <c r="Q18">
        <v>1.2999999999999999E-2</v>
      </c>
    </row>
    <row r="19" spans="1:17">
      <c r="A19">
        <v>30</v>
      </c>
      <c r="B19">
        <v>1.5</v>
      </c>
      <c r="C19" t="s">
        <v>425</v>
      </c>
      <c r="D19">
        <v>6.7000000000000002E-3</v>
      </c>
      <c r="E19">
        <v>1.5E-3</v>
      </c>
      <c r="F19">
        <v>0.1</v>
      </c>
      <c r="G19">
        <v>12</v>
      </c>
      <c r="I19">
        <v>13.9</v>
      </c>
      <c r="J19">
        <v>28.4</v>
      </c>
      <c r="K19">
        <v>22.5</v>
      </c>
      <c r="L19">
        <v>15.3</v>
      </c>
      <c r="M19">
        <v>0.755</v>
      </c>
      <c r="N19">
        <v>1.282</v>
      </c>
      <c r="O19">
        <v>7.5</v>
      </c>
      <c r="P19">
        <v>18</v>
      </c>
      <c r="Q19">
        <v>1.6E-2</v>
      </c>
    </row>
    <row r="20" spans="1:17">
      <c r="A20">
        <v>45</v>
      </c>
      <c r="B20">
        <v>1.5</v>
      </c>
      <c r="C20" t="s">
        <v>425</v>
      </c>
      <c r="D20">
        <v>6.7000000000000002E-3</v>
      </c>
      <c r="E20">
        <v>1.5E-3</v>
      </c>
      <c r="F20">
        <v>0.1</v>
      </c>
      <c r="G20">
        <v>12</v>
      </c>
      <c r="I20">
        <v>13.9</v>
      </c>
      <c r="J20">
        <v>28.4</v>
      </c>
      <c r="K20">
        <v>22.5</v>
      </c>
      <c r="L20">
        <v>15.3</v>
      </c>
      <c r="M20">
        <v>0.61399999999999999</v>
      </c>
      <c r="N20">
        <v>1.3440000000000001</v>
      </c>
      <c r="O20">
        <v>7.5</v>
      </c>
      <c r="P20">
        <v>16.5</v>
      </c>
      <c r="Q20">
        <v>1.4999999999999999E-2</v>
      </c>
    </row>
    <row r="21" spans="1:17">
      <c r="A21">
        <v>45</v>
      </c>
      <c r="B21">
        <v>1.5</v>
      </c>
      <c r="C21" t="s">
        <v>425</v>
      </c>
      <c r="D21">
        <v>6.7000000000000002E-3</v>
      </c>
      <c r="E21">
        <v>1.5E-3</v>
      </c>
      <c r="F21">
        <v>0.1</v>
      </c>
      <c r="G21">
        <v>12</v>
      </c>
      <c r="I21">
        <v>13.9</v>
      </c>
      <c r="J21">
        <v>28.4</v>
      </c>
      <c r="K21">
        <v>22.5</v>
      </c>
      <c r="L21">
        <v>15.3</v>
      </c>
      <c r="M21">
        <v>0.62</v>
      </c>
      <c r="N21">
        <v>1.341</v>
      </c>
      <c r="O21">
        <v>8</v>
      </c>
      <c r="P21">
        <v>17</v>
      </c>
      <c r="Q21">
        <v>1.4E-2</v>
      </c>
    </row>
    <row r="22" spans="1:17">
      <c r="A22">
        <v>60</v>
      </c>
      <c r="B22">
        <v>1.5</v>
      </c>
      <c r="C22" t="s">
        <v>425</v>
      </c>
      <c r="D22">
        <v>6.7000000000000002E-3</v>
      </c>
      <c r="E22">
        <v>1.5E-3</v>
      </c>
      <c r="F22">
        <v>0.1</v>
      </c>
      <c r="G22">
        <v>12</v>
      </c>
      <c r="I22">
        <v>13.9</v>
      </c>
      <c r="J22">
        <v>28.4</v>
      </c>
      <c r="K22">
        <v>22.5</v>
      </c>
      <c r="L22">
        <v>15.3</v>
      </c>
      <c r="M22">
        <v>0.47799999999999998</v>
      </c>
      <c r="N22">
        <v>1.4279999999999999</v>
      </c>
      <c r="O22">
        <v>11</v>
      </c>
      <c r="P22">
        <v>17</v>
      </c>
      <c r="Q22">
        <v>1.4E-2</v>
      </c>
    </row>
    <row r="23" spans="1:17">
      <c r="A23">
        <v>60</v>
      </c>
      <c r="B23">
        <v>1.5</v>
      </c>
      <c r="C23" t="s">
        <v>425</v>
      </c>
      <c r="D23">
        <v>6.7000000000000002E-3</v>
      </c>
      <c r="E23">
        <v>1.5E-3</v>
      </c>
      <c r="F23">
        <v>0.1</v>
      </c>
      <c r="G23">
        <v>12</v>
      </c>
      <c r="I23">
        <v>13.9</v>
      </c>
      <c r="J23">
        <v>28.4</v>
      </c>
      <c r="K23">
        <v>22.5</v>
      </c>
      <c r="L23">
        <v>15.3</v>
      </c>
      <c r="M23">
        <v>0.48199999999999998</v>
      </c>
      <c r="N23">
        <v>1.423</v>
      </c>
      <c r="O23">
        <v>11.5</v>
      </c>
      <c r="P23">
        <v>17</v>
      </c>
      <c r="Q23">
        <v>1.4E-2</v>
      </c>
    </row>
    <row r="24" spans="1:17">
      <c r="A24">
        <v>70</v>
      </c>
      <c r="B24">
        <v>1.5</v>
      </c>
      <c r="C24" t="s">
        <v>425</v>
      </c>
      <c r="D24">
        <v>6.7000000000000002E-3</v>
      </c>
      <c r="E24">
        <v>1.5E-3</v>
      </c>
      <c r="F24">
        <v>0.1</v>
      </c>
      <c r="G24">
        <v>12</v>
      </c>
      <c r="I24">
        <v>13.9</v>
      </c>
      <c r="J24">
        <v>28.4</v>
      </c>
      <c r="K24">
        <v>22.5</v>
      </c>
      <c r="L24">
        <v>15.3</v>
      </c>
      <c r="M24">
        <v>0.33800000000000002</v>
      </c>
      <c r="N24">
        <v>1.5660000000000001</v>
      </c>
      <c r="O24">
        <v>10.5</v>
      </c>
      <c r="P24">
        <v>13</v>
      </c>
      <c r="Q24">
        <v>1.2E-2</v>
      </c>
    </row>
    <row r="25" spans="1:17">
      <c r="A25">
        <v>45</v>
      </c>
      <c r="B25">
        <v>1.5</v>
      </c>
      <c r="C25" t="s">
        <v>448</v>
      </c>
      <c r="D25">
        <v>6.7000000000000002E-3</v>
      </c>
      <c r="E25">
        <v>0.01</v>
      </c>
      <c r="F25">
        <v>0.1</v>
      </c>
      <c r="G25">
        <v>12</v>
      </c>
      <c r="I25">
        <v>13.7</v>
      </c>
      <c r="J25">
        <v>28.3</v>
      </c>
      <c r="K25">
        <v>22.7</v>
      </c>
      <c r="L25">
        <v>11.5</v>
      </c>
      <c r="M25">
        <v>0.60399999999999998</v>
      </c>
      <c r="N25">
        <v>1.3480000000000001</v>
      </c>
      <c r="O25">
        <v>6.5</v>
      </c>
      <c r="P25">
        <v>15</v>
      </c>
      <c r="Q25">
        <v>1.4E-2</v>
      </c>
    </row>
    <row r="26" spans="1:17">
      <c r="A26">
        <v>45</v>
      </c>
      <c r="B26">
        <v>1.5</v>
      </c>
      <c r="C26" t="s">
        <v>449</v>
      </c>
      <c r="D26">
        <v>6.7000000000000002E-3</v>
      </c>
      <c r="E26">
        <v>0.02</v>
      </c>
      <c r="F26">
        <v>0.1</v>
      </c>
      <c r="G26">
        <v>12</v>
      </c>
      <c r="I26">
        <v>13.4</v>
      </c>
      <c r="J26">
        <v>27.5</v>
      </c>
      <c r="K26">
        <v>22.7</v>
      </c>
      <c r="L26">
        <v>7.8</v>
      </c>
      <c r="M26">
        <v>0.62</v>
      </c>
      <c r="N26">
        <v>1.333</v>
      </c>
      <c r="O26">
        <v>8</v>
      </c>
      <c r="P26">
        <v>16</v>
      </c>
      <c r="Q26">
        <v>1.55E-2</v>
      </c>
    </row>
    <row r="27" spans="1:17">
      <c r="A27">
        <v>45</v>
      </c>
      <c r="B27">
        <v>1.5</v>
      </c>
      <c r="C27" t="s">
        <v>432</v>
      </c>
      <c r="D27">
        <v>0.01</v>
      </c>
      <c r="E27">
        <v>1.5E-3</v>
      </c>
      <c r="F27">
        <v>0.12</v>
      </c>
      <c r="G27">
        <v>12</v>
      </c>
      <c r="I27">
        <v>13.8</v>
      </c>
      <c r="J27">
        <v>28.4</v>
      </c>
      <c r="K27">
        <v>27.2</v>
      </c>
      <c r="L27">
        <v>18.7</v>
      </c>
      <c r="M27">
        <v>0.60599999999999998</v>
      </c>
      <c r="N27">
        <v>1.36</v>
      </c>
      <c r="O27">
        <v>8.5</v>
      </c>
      <c r="P27">
        <v>16.5</v>
      </c>
      <c r="Q27">
        <v>1.6500000000000001E-2</v>
      </c>
    </row>
    <row r="28" spans="1:17">
      <c r="A28">
        <v>60</v>
      </c>
      <c r="B28">
        <v>1.5</v>
      </c>
      <c r="C28" t="s">
        <v>432</v>
      </c>
      <c r="D28">
        <v>0.01</v>
      </c>
      <c r="E28">
        <v>1.5E-3</v>
      </c>
      <c r="F28">
        <v>0.12</v>
      </c>
      <c r="G28">
        <v>12</v>
      </c>
      <c r="I28">
        <v>13.8</v>
      </c>
      <c r="J28">
        <v>28.4</v>
      </c>
      <c r="K28">
        <v>27.2</v>
      </c>
      <c r="L28">
        <v>18.7</v>
      </c>
      <c r="M28">
        <v>0.47299999999999998</v>
      </c>
      <c r="N28">
        <v>1.4379999999999999</v>
      </c>
      <c r="O28">
        <v>12</v>
      </c>
      <c r="P28">
        <v>17.5</v>
      </c>
      <c r="Q28">
        <v>1.4500000000000001E-2</v>
      </c>
    </row>
    <row r="29" spans="1:17">
      <c r="A29">
        <v>45</v>
      </c>
      <c r="B29">
        <v>1.5</v>
      </c>
      <c r="C29" t="s">
        <v>433</v>
      </c>
      <c r="D29">
        <v>1.5100000000000001E-2</v>
      </c>
      <c r="E29">
        <v>1.5E-3</v>
      </c>
      <c r="F29">
        <v>0.15</v>
      </c>
      <c r="G29">
        <v>12</v>
      </c>
      <c r="I29">
        <v>13.6</v>
      </c>
      <c r="J29">
        <v>28.2</v>
      </c>
      <c r="K29">
        <v>33.799999999999997</v>
      </c>
      <c r="L29">
        <v>22.7</v>
      </c>
      <c r="M29">
        <v>0.56899999999999995</v>
      </c>
      <c r="N29">
        <v>1.4019999999999999</v>
      </c>
      <c r="O29">
        <v>8</v>
      </c>
      <c r="P29">
        <v>14.5</v>
      </c>
      <c r="Q29">
        <v>1.7999999999999999E-2</v>
      </c>
    </row>
    <row r="30" spans="1:17">
      <c r="A30">
        <v>60</v>
      </c>
      <c r="B30">
        <v>1.5</v>
      </c>
      <c r="C30" t="s">
        <v>433</v>
      </c>
      <c r="D30">
        <v>1.5100000000000001E-2</v>
      </c>
      <c r="E30">
        <v>1.5E-3</v>
      </c>
      <c r="F30">
        <v>0.15</v>
      </c>
      <c r="G30">
        <v>12</v>
      </c>
      <c r="I30">
        <v>13.6</v>
      </c>
      <c r="J30">
        <v>28.2</v>
      </c>
      <c r="K30">
        <v>33.799999999999997</v>
      </c>
      <c r="L30">
        <v>22.7</v>
      </c>
      <c r="M30">
        <v>0.42299999999999999</v>
      </c>
      <c r="N30">
        <v>1.49</v>
      </c>
      <c r="O30">
        <v>10</v>
      </c>
      <c r="P30">
        <v>12.5</v>
      </c>
      <c r="Q30">
        <v>1.7000000000000001E-2</v>
      </c>
    </row>
    <row r="31" spans="1:17">
      <c r="A31">
        <v>30</v>
      </c>
      <c r="B31">
        <v>1.5</v>
      </c>
      <c r="C31" t="s">
        <v>426</v>
      </c>
      <c r="D31">
        <v>6.7000000000000002E-3</v>
      </c>
      <c r="E31">
        <v>1.5E-3</v>
      </c>
      <c r="F31">
        <v>0.1</v>
      </c>
      <c r="G31">
        <v>15</v>
      </c>
      <c r="I31">
        <v>17.100000000000001</v>
      </c>
      <c r="J31">
        <v>35.299999999999997</v>
      </c>
      <c r="K31">
        <v>22.7</v>
      </c>
      <c r="L31">
        <v>13.4</v>
      </c>
      <c r="M31">
        <v>0.77</v>
      </c>
      <c r="N31">
        <v>1.296</v>
      </c>
      <c r="O31">
        <v>11.5</v>
      </c>
      <c r="P31">
        <v>24.5</v>
      </c>
      <c r="Q31">
        <v>1.7000000000000001E-2</v>
      </c>
    </row>
    <row r="32" spans="1:17">
      <c r="A32">
        <v>45</v>
      </c>
      <c r="B32">
        <v>1.5</v>
      </c>
      <c r="C32" t="s">
        <v>426</v>
      </c>
      <c r="D32">
        <v>6.7000000000000002E-3</v>
      </c>
      <c r="E32">
        <v>1.5E-3</v>
      </c>
      <c r="F32">
        <v>0.1</v>
      </c>
      <c r="G32">
        <v>15</v>
      </c>
      <c r="I32">
        <v>17.100000000000001</v>
      </c>
      <c r="J32">
        <v>35.299999999999997</v>
      </c>
      <c r="K32">
        <v>22.7</v>
      </c>
      <c r="L32">
        <v>13.4</v>
      </c>
      <c r="M32">
        <v>0.64</v>
      </c>
      <c r="N32">
        <v>1.4039999999999999</v>
      </c>
      <c r="O32">
        <v>12</v>
      </c>
      <c r="P32">
        <v>24</v>
      </c>
      <c r="Q32">
        <v>1.7000000000000001E-2</v>
      </c>
    </row>
    <row r="33" spans="1:17">
      <c r="A33">
        <v>60</v>
      </c>
      <c r="B33">
        <v>1.5</v>
      </c>
      <c r="C33" t="s">
        <v>426</v>
      </c>
      <c r="D33">
        <v>6.7000000000000002E-3</v>
      </c>
      <c r="E33">
        <v>1.5E-3</v>
      </c>
      <c r="F33">
        <v>0.1</v>
      </c>
      <c r="G33">
        <v>15</v>
      </c>
      <c r="I33">
        <v>17.100000000000001</v>
      </c>
      <c r="J33">
        <v>35.299999999999997</v>
      </c>
      <c r="K33">
        <v>22.7</v>
      </c>
      <c r="L33">
        <v>13.4</v>
      </c>
      <c r="M33">
        <v>0.50600000000000001</v>
      </c>
      <c r="N33">
        <v>1.5</v>
      </c>
      <c r="O33">
        <v>15</v>
      </c>
      <c r="P33">
        <v>23</v>
      </c>
      <c r="Q33">
        <v>1.55E-2</v>
      </c>
    </row>
    <row r="34" spans="1:17">
      <c r="A34">
        <v>70</v>
      </c>
      <c r="B34">
        <v>1.5</v>
      </c>
      <c r="C34" t="s">
        <v>426</v>
      </c>
      <c r="D34">
        <v>6.7000000000000002E-3</v>
      </c>
      <c r="E34">
        <v>1.5E-3</v>
      </c>
      <c r="F34">
        <v>0.1</v>
      </c>
      <c r="G34">
        <v>15</v>
      </c>
      <c r="I34">
        <v>17.100000000000001</v>
      </c>
      <c r="J34">
        <v>35.299999999999997</v>
      </c>
      <c r="K34">
        <v>22.7</v>
      </c>
      <c r="L34">
        <v>13.4</v>
      </c>
      <c r="M34">
        <v>0.35699999999999998</v>
      </c>
      <c r="N34">
        <v>1.6819999999999999</v>
      </c>
      <c r="O34">
        <v>13.5</v>
      </c>
      <c r="P34">
        <v>16</v>
      </c>
      <c r="Q34">
        <v>1.6E-2</v>
      </c>
    </row>
    <row r="35" spans="1:17">
      <c r="A35">
        <v>30</v>
      </c>
      <c r="B35">
        <v>1.5</v>
      </c>
      <c r="C35" t="s">
        <v>427</v>
      </c>
      <c r="D35">
        <v>6.7000000000000002E-3</v>
      </c>
      <c r="E35">
        <v>1.5E-3</v>
      </c>
      <c r="F35">
        <v>0.1</v>
      </c>
      <c r="G35">
        <v>18</v>
      </c>
      <c r="I35">
        <v>20.5</v>
      </c>
      <c r="J35">
        <v>42.2</v>
      </c>
      <c r="K35">
        <v>22.6</v>
      </c>
      <c r="L35">
        <v>14.7</v>
      </c>
      <c r="M35">
        <v>0.75900000000000001</v>
      </c>
      <c r="N35">
        <v>1.3160000000000001</v>
      </c>
      <c r="O35">
        <v>12.5</v>
      </c>
      <c r="P35">
        <v>28.5</v>
      </c>
      <c r="Q35">
        <v>1.7000000000000001E-2</v>
      </c>
    </row>
    <row r="36" spans="1:17">
      <c r="A36">
        <v>45</v>
      </c>
      <c r="B36">
        <v>1.5</v>
      </c>
      <c r="C36" t="s">
        <v>427</v>
      </c>
      <c r="D36">
        <v>6.7000000000000002E-3</v>
      </c>
      <c r="E36">
        <v>1.5E-3</v>
      </c>
      <c r="F36">
        <v>0.1</v>
      </c>
      <c r="G36">
        <v>18</v>
      </c>
      <c r="I36">
        <v>20.5</v>
      </c>
      <c r="J36">
        <v>42.2</v>
      </c>
      <c r="K36">
        <v>22.6</v>
      </c>
      <c r="L36">
        <v>14.7</v>
      </c>
      <c r="M36">
        <v>0.65800000000000003</v>
      </c>
      <c r="N36">
        <v>1.458</v>
      </c>
      <c r="O36">
        <v>16</v>
      </c>
      <c r="P36">
        <v>31</v>
      </c>
      <c r="Q36">
        <v>1.7500000000000002E-2</v>
      </c>
    </row>
    <row r="37" spans="1:17">
      <c r="A37">
        <v>60</v>
      </c>
      <c r="B37">
        <v>1.5</v>
      </c>
      <c r="C37" t="s">
        <v>427</v>
      </c>
      <c r="D37">
        <v>6.7000000000000002E-3</v>
      </c>
      <c r="E37">
        <v>1.5E-3</v>
      </c>
      <c r="F37">
        <v>0.1</v>
      </c>
      <c r="G37">
        <v>18</v>
      </c>
      <c r="I37">
        <v>20.5</v>
      </c>
      <c r="J37">
        <v>42.2</v>
      </c>
      <c r="K37">
        <v>22.6</v>
      </c>
      <c r="L37">
        <v>14.7</v>
      </c>
      <c r="M37">
        <v>0.505</v>
      </c>
      <c r="N37">
        <v>1.603</v>
      </c>
      <c r="O37">
        <v>17</v>
      </c>
      <c r="P37">
        <v>26.5</v>
      </c>
      <c r="Q37">
        <v>1.6500000000000001E-2</v>
      </c>
    </row>
    <row r="38" spans="1:17">
      <c r="A38">
        <v>45</v>
      </c>
      <c r="B38">
        <v>1.5</v>
      </c>
      <c r="C38" t="s">
        <v>428</v>
      </c>
      <c r="D38">
        <v>6.7000000000000002E-3</v>
      </c>
      <c r="E38">
        <v>1.5E-3</v>
      </c>
      <c r="F38">
        <v>0.1</v>
      </c>
      <c r="G38">
        <v>21</v>
      </c>
      <c r="I38">
        <v>23.8</v>
      </c>
      <c r="J38">
        <v>48.9</v>
      </c>
      <c r="K38">
        <v>22.4</v>
      </c>
      <c r="L38">
        <v>14.4</v>
      </c>
      <c r="M38">
        <v>0.66300000000000003</v>
      </c>
      <c r="N38">
        <v>1.5049999999999999</v>
      </c>
      <c r="O38">
        <v>19</v>
      </c>
      <c r="P38">
        <v>36</v>
      </c>
      <c r="Q38">
        <v>1.7999999999999999E-2</v>
      </c>
    </row>
    <row r="39" spans="1:17">
      <c r="A39">
        <v>45</v>
      </c>
      <c r="B39">
        <v>1.5</v>
      </c>
      <c r="C39" t="s">
        <v>429</v>
      </c>
      <c r="D39">
        <v>6.7000000000000002E-3</v>
      </c>
      <c r="E39">
        <v>1.5E-3</v>
      </c>
      <c r="F39">
        <v>0.1</v>
      </c>
      <c r="G39">
        <v>24</v>
      </c>
      <c r="I39">
        <v>27.1</v>
      </c>
      <c r="J39">
        <v>55.5</v>
      </c>
      <c r="K39">
        <v>22.3</v>
      </c>
      <c r="L39">
        <v>14.1</v>
      </c>
      <c r="M39">
        <v>0.66</v>
      </c>
      <c r="N39">
        <v>1.512</v>
      </c>
      <c r="O39">
        <v>21</v>
      </c>
      <c r="P39">
        <v>40</v>
      </c>
      <c r="Q39">
        <v>1.9E-2</v>
      </c>
    </row>
    <row r="40" spans="1:17">
      <c r="A40">
        <v>60</v>
      </c>
      <c r="B40">
        <v>1.5</v>
      </c>
      <c r="C40" t="s">
        <v>429</v>
      </c>
      <c r="D40">
        <v>6.7000000000000002E-3</v>
      </c>
      <c r="E40">
        <v>1.5E-3</v>
      </c>
      <c r="F40">
        <v>0.1</v>
      </c>
      <c r="G40">
        <v>24</v>
      </c>
      <c r="I40">
        <v>27.1</v>
      </c>
      <c r="J40">
        <v>55.5</v>
      </c>
      <c r="K40">
        <v>22.3</v>
      </c>
      <c r="L40">
        <v>14.1</v>
      </c>
      <c r="M40">
        <v>0.52800000000000002</v>
      </c>
      <c r="N40">
        <v>1.758</v>
      </c>
      <c r="O40">
        <v>23</v>
      </c>
      <c r="P40">
        <v>36</v>
      </c>
      <c r="Q40">
        <v>2.5000000000000001E-2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enableFormatConditionsCalculation="0">
    <tabColor indexed="34"/>
  </sheetPr>
  <dimension ref="A1:Q3"/>
  <sheetViews>
    <sheetView workbookViewId="0">
      <selection activeCell="A3" sqref="A3:Q3"/>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60</v>
      </c>
      <c r="B2">
        <v>2</v>
      </c>
      <c r="C2" t="s">
        <v>445</v>
      </c>
      <c r="D2">
        <v>2.3999999999999998E-3</v>
      </c>
      <c r="E2">
        <v>0.01</v>
      </c>
      <c r="F2">
        <v>0.06</v>
      </c>
      <c r="G2">
        <v>4</v>
      </c>
      <c r="I2">
        <v>4.5999999999999996</v>
      </c>
      <c r="J2">
        <v>9.5</v>
      </c>
      <c r="K2">
        <v>13.4</v>
      </c>
      <c r="L2">
        <v>5.3</v>
      </c>
      <c r="M2">
        <v>0.38200000000000001</v>
      </c>
      <c r="N2">
        <v>1.22</v>
      </c>
      <c r="O2">
        <v>0</v>
      </c>
      <c r="P2">
        <v>2.5</v>
      </c>
      <c r="Q2">
        <v>1.0999999999999999E-2</v>
      </c>
    </row>
    <row r="3" spans="1:17">
      <c r="A3">
        <v>70</v>
      </c>
      <c r="B3">
        <v>2</v>
      </c>
      <c r="C3" t="s">
        <v>445</v>
      </c>
      <c r="D3">
        <v>2.3999999999999998E-3</v>
      </c>
      <c r="E3">
        <v>0.01</v>
      </c>
      <c r="F3">
        <v>0.06</v>
      </c>
      <c r="G3">
        <v>4</v>
      </c>
      <c r="I3">
        <v>4.5999999999999996</v>
      </c>
      <c r="J3">
        <v>9.5</v>
      </c>
      <c r="K3">
        <v>13.4</v>
      </c>
      <c r="L3">
        <v>5.3</v>
      </c>
      <c r="M3">
        <v>0.26</v>
      </c>
      <c r="N3">
        <v>1.319</v>
      </c>
      <c r="O3">
        <v>2</v>
      </c>
      <c r="P3">
        <v>2</v>
      </c>
      <c r="Q3">
        <v>0.01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enableFormatConditionsCalculation="0">
    <tabColor indexed="34"/>
  </sheetPr>
  <dimension ref="A1"/>
  <sheetViews>
    <sheetView workbookViewId="0">
      <selection activeCell="Q65" sqref="Q65"/>
    </sheetView>
  </sheetViews>
  <sheetFormatPr defaultColWidth="8.85546875" defaultRowHeight="12.7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enableFormatConditionsCalculation="0">
    <tabColor indexed="34"/>
  </sheetPr>
  <dimension ref="A1"/>
  <sheetViews>
    <sheetView workbookViewId="0">
      <selection activeCell="Q7" sqref="Q7"/>
    </sheetView>
  </sheetViews>
  <sheetFormatPr defaultColWidth="8.85546875" defaultRowHeight="12.7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enableFormatConditionsCalculation="0">
    <tabColor indexed="34"/>
  </sheetPr>
  <dimension ref="A1"/>
  <sheetViews>
    <sheetView workbookViewId="0">
      <selection activeCell="Q6" sqref="Q6"/>
    </sheetView>
  </sheetViews>
  <sheetFormatPr defaultColWidth="8.85546875" defaultRowHeight="12.7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enableFormatConditionsCalculation="0">
    <tabColor indexed="34"/>
  </sheetPr>
  <dimension ref="A1"/>
  <sheetViews>
    <sheetView workbookViewId="0">
      <selection activeCell="Q11" sqref="Q11"/>
    </sheetView>
  </sheetViews>
  <sheetFormatPr defaultColWidth="8.85546875" defaultRowHeight="12.7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enableFormatConditionsCalculation="0">
    <tabColor indexed="34"/>
  </sheetPr>
  <dimension ref="A1"/>
  <sheetViews>
    <sheetView workbookViewId="0">
      <selection activeCell="Q31" sqref="Q31"/>
    </sheetView>
  </sheetViews>
  <sheetFormatPr defaultColWidth="8.85546875" defaultRowHeight="12.7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enableFormatConditionsCalculation="0">
    <tabColor indexed="34"/>
  </sheetPr>
  <dimension ref="A1"/>
  <sheetViews>
    <sheetView workbookViewId="0">
      <selection activeCell="Q10" sqref="Q10"/>
    </sheetView>
  </sheetViews>
  <sheetFormatPr defaultColWidth="8.85546875"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enableFormatConditionsCalculation="0">
    <tabColor indexed="34"/>
  </sheetPr>
  <dimension ref="A1"/>
  <sheetViews>
    <sheetView workbookViewId="0">
      <selection activeCell="Q40" sqref="Q40"/>
    </sheetView>
  </sheetViews>
  <sheetFormatPr defaultColWidth="8.85546875"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enableFormatConditionsCalculation="0">
    <tabColor indexed="34"/>
  </sheetPr>
  <dimension ref="A1"/>
  <sheetViews>
    <sheetView workbookViewId="0">
      <selection activeCell="Q3" sqref="Q3"/>
    </sheetView>
  </sheetViews>
  <sheetFormatPr defaultColWidth="8.85546875" defaultRowHeight="12.7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enableFormatConditionsCalculation="0">
    <tabColor indexed="34"/>
  </sheetPr>
  <dimension ref="A1"/>
  <sheetViews>
    <sheetView workbookViewId="0">
      <selection activeCell="Q5" sqref="Q5"/>
    </sheetView>
  </sheetViews>
  <sheetFormatPr defaultColWidth="8.85546875"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enableFormatConditionsCalculation="0">
    <tabColor indexed="34"/>
  </sheetPr>
  <dimension ref="A1"/>
  <sheetViews>
    <sheetView workbookViewId="0">
      <selection activeCell="Q12" sqref="Q12"/>
    </sheetView>
  </sheetViews>
  <sheetFormatPr defaultColWidth="8.85546875"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enableFormatConditionsCalculation="0">
    <tabColor indexed="34"/>
  </sheetPr>
  <dimension ref="A1"/>
  <sheetViews>
    <sheetView workbookViewId="0">
      <selection activeCell="Q12" sqref="Q12"/>
    </sheetView>
  </sheetViews>
  <sheetFormatPr defaultColWidth="8.85546875"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4"/>
  </sheetPr>
  <dimension ref="A1"/>
  <sheetViews>
    <sheetView workbookViewId="0">
      <selection sqref="A1:XFD1048576"/>
    </sheetView>
  </sheetViews>
  <sheetFormatPr defaultColWidth="11.42578125" defaultRowHeight="12.75"/>
  <sheetData/>
  <phoneticPr fontId="2" type="noConversion"/>
  <pageMargins left="0.75" right="0.75" top="1" bottom="1" header="0.5" footer="0.5"/>
  <pageSetup orientation="portrait" horizontalDpi="4294967292" verticalDpi="429496729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indexed="34"/>
  </sheetPr>
  <dimension ref="A1"/>
  <sheetViews>
    <sheetView workbookViewId="0">
      <selection activeCell="I26" sqref="I26"/>
    </sheetView>
  </sheetViews>
  <sheetFormatPr defaultColWidth="8.85546875" defaultRowHeight="12.75"/>
  <sheetData/>
  <phoneticPr fontId="2" type="noConversion"/>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enableFormatConditionsCalculation="0">
    <tabColor indexed="34"/>
  </sheetPr>
  <dimension ref="A1"/>
  <sheetViews>
    <sheetView workbookViewId="0">
      <selection activeCell="B33" sqref="B33"/>
    </sheetView>
  </sheetViews>
  <sheetFormatPr defaultColWidth="8.85546875" defaultRowHeight="12.75"/>
  <sheetData/>
  <phoneticPr fontId="2" type="noConversion"/>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34"/>
  </sheetPr>
  <dimension ref="A1:Q8"/>
  <sheetViews>
    <sheetView tabSelected="1" workbookViewId="0">
      <selection activeCell="M19" sqref="M19"/>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60</v>
      </c>
      <c r="B2">
        <v>0.5</v>
      </c>
      <c r="C2" t="s">
        <v>510</v>
      </c>
      <c r="D2">
        <v>6.7000000000000002E-3</v>
      </c>
      <c r="E2">
        <v>1.5E-3</v>
      </c>
      <c r="F2">
        <v>0.1</v>
      </c>
      <c r="G2">
        <v>4</v>
      </c>
      <c r="I2">
        <v>4.5999999999999996</v>
      </c>
      <c r="J2">
        <v>9.5</v>
      </c>
      <c r="K2">
        <v>22.8</v>
      </c>
      <c r="L2">
        <v>15.6</v>
      </c>
      <c r="M2">
        <v>0.61799999999999999</v>
      </c>
      <c r="N2">
        <v>1.0009999999999999</v>
      </c>
      <c r="O2">
        <v>0</v>
      </c>
      <c r="P2">
        <v>0</v>
      </c>
      <c r="Q2">
        <v>0.01</v>
      </c>
    </row>
    <row r="3" spans="1:17">
      <c r="A3">
        <v>70</v>
      </c>
      <c r="B3">
        <v>0.75</v>
      </c>
      <c r="C3" t="s">
        <v>445</v>
      </c>
      <c r="D3">
        <v>2.3999999999999998E-3</v>
      </c>
      <c r="E3">
        <v>0.01</v>
      </c>
      <c r="F3">
        <v>0.06</v>
      </c>
      <c r="G3">
        <v>4</v>
      </c>
      <c r="I3">
        <v>4.5999999999999996</v>
      </c>
      <c r="J3">
        <v>9.5</v>
      </c>
      <c r="K3">
        <v>13.4</v>
      </c>
      <c r="L3">
        <v>5.3</v>
      </c>
      <c r="M3">
        <v>0.36899999999999999</v>
      </c>
      <c r="N3">
        <v>1.0009999999999999</v>
      </c>
      <c r="O3">
        <v>-1.5</v>
      </c>
      <c r="P3">
        <v>0.5</v>
      </c>
      <c r="Q3">
        <v>8.9999999999999993E-3</v>
      </c>
    </row>
    <row r="4" spans="1:17">
      <c r="A4">
        <v>0</v>
      </c>
      <c r="B4">
        <v>1E-3</v>
      </c>
      <c r="C4" t="s">
        <v>626</v>
      </c>
      <c r="D4" s="288">
        <v>2.3999999999999998E-3</v>
      </c>
      <c r="E4" s="288">
        <v>1E-4</v>
      </c>
      <c r="F4">
        <v>0.06</v>
      </c>
      <c r="G4">
        <v>0</v>
      </c>
      <c r="I4">
        <v>0</v>
      </c>
      <c r="J4">
        <v>0</v>
      </c>
      <c r="K4">
        <v>13.4</v>
      </c>
      <c r="L4">
        <v>9.1</v>
      </c>
      <c r="M4">
        <v>1</v>
      </c>
      <c r="N4">
        <v>1</v>
      </c>
      <c r="O4">
        <v>-4</v>
      </c>
      <c r="P4">
        <v>0</v>
      </c>
      <c r="Q4">
        <v>8.9999999999999993E-3</v>
      </c>
    </row>
    <row r="5" spans="1:17">
      <c r="A5">
        <v>70</v>
      </c>
      <c r="B5">
        <v>1</v>
      </c>
      <c r="C5" t="s">
        <v>445</v>
      </c>
      <c r="D5">
        <v>2.3999999999999998E-3</v>
      </c>
      <c r="E5">
        <v>0.01</v>
      </c>
      <c r="F5">
        <v>0.06</v>
      </c>
      <c r="G5">
        <v>4</v>
      </c>
      <c r="I5">
        <v>4.5999999999999996</v>
      </c>
      <c r="J5">
        <v>9.5</v>
      </c>
      <c r="K5">
        <v>13.4</v>
      </c>
      <c r="L5">
        <v>5.3</v>
      </c>
      <c r="M5">
        <v>0.30299999999999999</v>
      </c>
      <c r="N5">
        <v>1.016</v>
      </c>
      <c r="O5">
        <v>-1</v>
      </c>
      <c r="P5">
        <v>0</v>
      </c>
      <c r="Q5">
        <v>8.9999999999999993E-3</v>
      </c>
    </row>
    <row r="6" spans="1:17">
      <c r="A6">
        <v>70</v>
      </c>
      <c r="B6">
        <v>1.25</v>
      </c>
      <c r="C6" t="s">
        <v>424</v>
      </c>
      <c r="D6">
        <v>6.7000000000000002E-3</v>
      </c>
      <c r="E6">
        <v>1.5E-3</v>
      </c>
      <c r="F6">
        <v>0.1</v>
      </c>
      <c r="G6">
        <v>8</v>
      </c>
      <c r="I6">
        <v>9.1999999999999993</v>
      </c>
      <c r="J6">
        <v>19</v>
      </c>
      <c r="K6">
        <v>22.8</v>
      </c>
      <c r="L6">
        <v>15.4</v>
      </c>
      <c r="M6">
        <v>0.34599999999999997</v>
      </c>
      <c r="N6">
        <v>1.2350000000000001</v>
      </c>
      <c r="O6">
        <v>6</v>
      </c>
      <c r="P6">
        <v>8</v>
      </c>
      <c r="Q6">
        <v>0.01</v>
      </c>
    </row>
    <row r="7" spans="1:17">
      <c r="A7">
        <v>70</v>
      </c>
      <c r="B7">
        <v>1.5</v>
      </c>
      <c r="C7" t="s">
        <v>445</v>
      </c>
      <c r="D7">
        <v>2.3999999999999998E-3</v>
      </c>
      <c r="E7">
        <v>0.01</v>
      </c>
      <c r="F7">
        <v>0.06</v>
      </c>
      <c r="G7">
        <v>4</v>
      </c>
      <c r="I7">
        <v>4.5999999999999996</v>
      </c>
      <c r="J7">
        <v>9.5</v>
      </c>
      <c r="K7">
        <v>13.4</v>
      </c>
      <c r="L7">
        <v>5.3</v>
      </c>
      <c r="M7">
        <v>0.32300000000000001</v>
      </c>
      <c r="N7">
        <v>1.145</v>
      </c>
      <c r="O7">
        <v>3.5</v>
      </c>
      <c r="P7">
        <v>5</v>
      </c>
      <c r="Q7">
        <v>8.9999999999999993E-3</v>
      </c>
    </row>
    <row r="8" spans="1:17">
      <c r="A8">
        <v>70</v>
      </c>
      <c r="B8">
        <v>2</v>
      </c>
      <c r="C8" t="s">
        <v>445</v>
      </c>
      <c r="D8">
        <v>2.3999999999999998E-3</v>
      </c>
      <c r="E8">
        <v>0.01</v>
      </c>
      <c r="F8">
        <v>0.06</v>
      </c>
      <c r="G8">
        <v>4</v>
      </c>
      <c r="I8">
        <v>4.5999999999999996</v>
      </c>
      <c r="J8">
        <v>9.5</v>
      </c>
      <c r="K8">
        <v>13.4</v>
      </c>
      <c r="L8">
        <v>5.3</v>
      </c>
      <c r="M8">
        <v>0.26</v>
      </c>
      <c r="N8">
        <v>1.319</v>
      </c>
      <c r="O8">
        <v>2</v>
      </c>
      <c r="P8">
        <v>2</v>
      </c>
      <c r="Q8">
        <v>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58</vt:i4>
      </vt:variant>
    </vt:vector>
  </HeadingPairs>
  <TitlesOfParts>
    <vt:vector size="58" baseType="lpstr">
      <vt:lpstr>Control</vt:lpstr>
      <vt:lpstr>Plot Layout</vt:lpstr>
      <vt:lpstr>Multiple Plots</vt:lpstr>
      <vt:lpstr>User Curves</vt:lpstr>
      <vt:lpstr>Equation Storage</vt:lpstr>
      <vt:lpstr>Color Selection</vt:lpstr>
      <vt:lpstr>Modification History</vt:lpstr>
      <vt:lpstr>Data 1</vt:lpstr>
      <vt:lpstr>Data 2</vt:lpstr>
      <vt:lpstr>Data 3</vt:lpstr>
      <vt:lpstr>Data 4</vt:lpstr>
      <vt:lpstr>Data 5</vt:lpstr>
      <vt:lpstr>Data 6</vt:lpstr>
      <vt:lpstr>Data 7</vt:lpstr>
      <vt:lpstr>Data 8</vt:lpstr>
      <vt:lpstr>Data 9</vt:lpstr>
      <vt:lpstr>Data 10</vt:lpstr>
      <vt:lpstr>Data 11</vt:lpstr>
      <vt:lpstr>Data 12</vt:lpstr>
      <vt:lpstr>Data 13</vt:lpstr>
      <vt:lpstr>Data 14</vt:lpstr>
      <vt:lpstr>Data 15</vt:lpstr>
      <vt:lpstr>Data 16</vt:lpstr>
      <vt:lpstr>Data 17</vt:lpstr>
      <vt:lpstr>Data 18</vt:lpstr>
      <vt:lpstr>Data 19</vt:lpstr>
      <vt:lpstr>Data 20</vt:lpstr>
      <vt:lpstr>Data 21</vt:lpstr>
      <vt:lpstr>Data 22</vt:lpstr>
      <vt:lpstr>Data 23</vt:lpstr>
      <vt:lpstr>Data 24</vt:lpstr>
      <vt:lpstr>Data 25</vt:lpstr>
      <vt:lpstr>Data 26</vt:lpstr>
      <vt:lpstr>Data 27</vt:lpstr>
      <vt:lpstr>Data 28</vt:lpstr>
      <vt:lpstr>Data 29</vt:lpstr>
      <vt:lpstr>Data 30</vt:lpstr>
      <vt:lpstr>Data 31</vt:lpstr>
      <vt:lpstr>Data 32</vt:lpstr>
      <vt:lpstr>Data 33</vt:lpstr>
      <vt:lpstr>Data 34</vt:lpstr>
      <vt:lpstr>Data 35</vt:lpstr>
      <vt:lpstr>Data 36</vt:lpstr>
      <vt:lpstr>Data 37</vt:lpstr>
      <vt:lpstr>Data 38</vt:lpstr>
      <vt:lpstr>Data 39</vt:lpstr>
      <vt:lpstr>Data 40</vt:lpstr>
      <vt:lpstr>Data 41</vt:lpstr>
      <vt:lpstr>Data 42</vt:lpstr>
      <vt:lpstr>Data 43</vt:lpstr>
      <vt:lpstr>Data 44</vt:lpstr>
      <vt:lpstr>Data 45</vt:lpstr>
      <vt:lpstr>Data 46</vt:lpstr>
      <vt:lpstr>Data 47</vt:lpstr>
      <vt:lpstr>Data 48</vt:lpstr>
      <vt:lpstr>Data 49</vt:lpstr>
      <vt:lpstr>Data 50</vt:lpstr>
      <vt:lpstr>Cross Plot</vt:lpstr>
    </vt:vector>
  </TitlesOfParts>
  <Company>mps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lyons</dc:creator>
  <cp:lastModifiedBy>Sean Scott</cp:lastModifiedBy>
  <cp:lastPrinted>2008-01-30T13:35:07Z</cp:lastPrinted>
  <dcterms:created xsi:type="dcterms:W3CDTF">2004-08-25T20:09:50Z</dcterms:created>
  <dcterms:modified xsi:type="dcterms:W3CDTF">2013-09-18T00:12:36Z</dcterms:modified>
</cp:coreProperties>
</file>