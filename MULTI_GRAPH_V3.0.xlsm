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885" yWindow="0" windowWidth="24240" windowHeight="15990" tabRatio="870" activeTab="1"/>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893" r:id="rId8"/>
    <sheet name="Data 2" sheetId="2894" r:id="rId9"/>
    <sheet name="Data 3" sheetId="2895" r:id="rId10"/>
    <sheet name="Data 4" sheetId="2896" r:id="rId11"/>
    <sheet name="Data 5" sheetId="2897" r:id="rId12"/>
    <sheet name="Data 6" sheetId="2898" r:id="rId13"/>
    <sheet name="Data 7" sheetId="2899" r:id="rId14"/>
    <sheet name="Data 8" sheetId="2900" r:id="rId15"/>
    <sheet name="Data 9" sheetId="2901" r:id="rId16"/>
    <sheet name="Data 10" sheetId="2902" r:id="rId17"/>
    <sheet name="Data 11" sheetId="2903" r:id="rId18"/>
    <sheet name="Data 12" sheetId="2904" r:id="rId19"/>
    <sheet name="Data 13" sheetId="2905" r:id="rId20"/>
    <sheet name="Data 14" sheetId="2906" r:id="rId21"/>
    <sheet name="Data 15" sheetId="2907" r:id="rId22"/>
    <sheet name="Data 16" sheetId="2908" r:id="rId23"/>
    <sheet name="Data 17" sheetId="2909" r:id="rId24"/>
    <sheet name="Data 18" sheetId="291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Cross Plot" sheetId="2911" r:id="rId58"/>
    <sheet name="Data 51" sheetId="410" r:id="rId59"/>
  </sheets>
  <functionGroups builtInGroupCount="17"/>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IV1" i="2911" l="1"/>
  <c r="IU1" i="2911"/>
  <c r="IT1" i="2911"/>
  <c r="IS1" i="2911"/>
  <c r="IR1" i="2911"/>
  <c r="IQ1" i="2911"/>
  <c r="IP1" i="2911"/>
  <c r="IO1" i="2911"/>
  <c r="IN1" i="2911"/>
  <c r="IM1" i="2911"/>
  <c r="IL1" i="2911"/>
  <c r="IK1" i="2911"/>
  <c r="IJ1" i="2911"/>
  <c r="II1" i="2911"/>
  <c r="IH1" i="2911"/>
  <c r="IG1" i="2911"/>
  <c r="IF1" i="2911"/>
  <c r="IE1" i="2911"/>
  <c r="ID1" i="2911"/>
  <c r="IC1" i="2911"/>
  <c r="IB1" i="2911"/>
  <c r="IA1" i="2911"/>
  <c r="HZ1" i="2911"/>
  <c r="HY1" i="2911"/>
  <c r="HX1" i="2911"/>
  <c r="HW1" i="2911"/>
  <c r="HV1" i="2911"/>
  <c r="HU1" i="2911"/>
  <c r="HT1" i="2911"/>
  <c r="HS1" i="2911"/>
  <c r="HR1" i="2911"/>
  <c r="HQ1" i="2911"/>
  <c r="HP1" i="2911"/>
  <c r="HO1" i="2911"/>
  <c r="HN1" i="2911"/>
  <c r="HM1" i="2911"/>
  <c r="HL1" i="2911"/>
  <c r="HK1" i="2911"/>
  <c r="HJ1" i="2911"/>
  <c r="HI1" i="2911"/>
  <c r="HH1" i="2911"/>
  <c r="HG1" i="2911"/>
  <c r="HF1" i="2911"/>
  <c r="HE1" i="2911"/>
  <c r="HD1" i="2911"/>
  <c r="HC1" i="2911"/>
  <c r="HB1" i="2911"/>
  <c r="HA1" i="2911"/>
  <c r="GZ1" i="2911"/>
  <c r="GY1" i="2911"/>
  <c r="GX1" i="2911"/>
  <c r="GW1" i="2911"/>
  <c r="GV1" i="2911"/>
  <c r="GU1" i="2911"/>
  <c r="GT1" i="2911"/>
  <c r="GS1" i="2911"/>
  <c r="GR1" i="2911"/>
  <c r="GQ1" i="2911"/>
  <c r="GP1" i="2911"/>
  <c r="GO1" i="2911"/>
  <c r="GN1" i="2911"/>
  <c r="GM1" i="2911"/>
  <c r="GL1" i="2911"/>
  <c r="GK1" i="2911"/>
  <c r="GJ1" i="2911"/>
  <c r="GI1" i="2911"/>
  <c r="GH1" i="2911"/>
  <c r="GG1" i="2911"/>
  <c r="GF1" i="2911"/>
  <c r="GE1" i="2911"/>
  <c r="GD1" i="2911"/>
  <c r="GC1" i="2911"/>
  <c r="GB1" i="2911"/>
  <c r="GA1" i="2911"/>
  <c r="FZ1" i="2911"/>
  <c r="FY1" i="2911"/>
  <c r="FX1" i="2911"/>
  <c r="FW1" i="2911"/>
  <c r="FV1" i="2911"/>
  <c r="FU1" i="2911"/>
  <c r="FT1" i="2911"/>
  <c r="FS1" i="2911"/>
  <c r="FR1" i="2911"/>
  <c r="FQ1" i="2911"/>
  <c r="FP1" i="2911"/>
  <c r="FO1" i="2911"/>
  <c r="FN1" i="2911"/>
  <c r="FM1" i="2911"/>
  <c r="FL1" i="2911"/>
  <c r="FK1" i="2911"/>
  <c r="FJ1" i="2911"/>
  <c r="FI1" i="2911"/>
  <c r="FH1" i="2911"/>
  <c r="FG1" i="2911"/>
  <c r="FF1" i="2911"/>
  <c r="FE1" i="2911"/>
  <c r="FD1" i="2911"/>
  <c r="FC1" i="2911"/>
  <c r="FB1" i="2911"/>
  <c r="FA1" i="2911"/>
  <c r="EZ1" i="2911"/>
  <c r="EY1" i="2911"/>
  <c r="EX1" i="2911"/>
  <c r="EW1" i="2911"/>
  <c r="EV1" i="2911"/>
  <c r="EU1" i="2911"/>
  <c r="ET1" i="2911"/>
  <c r="ES1" i="2911"/>
  <c r="ER1" i="2911"/>
  <c r="EQ1" i="2911"/>
  <c r="EP1" i="2911"/>
  <c r="EO1" i="2911"/>
  <c r="EN1" i="2911"/>
  <c r="EM1" i="2911"/>
  <c r="EL1" i="2911"/>
  <c r="EK1" i="2911"/>
  <c r="EJ1" i="2911"/>
  <c r="EI1" i="2911"/>
  <c r="EH1" i="2911"/>
  <c r="EG1" i="2911"/>
  <c r="EF1" i="2911"/>
  <c r="EE1" i="2911"/>
  <c r="ED1" i="2911"/>
  <c r="EC1" i="2911"/>
  <c r="EB1" i="2911"/>
  <c r="EA1" i="2911"/>
  <c r="DZ1" i="2911"/>
  <c r="DY1" i="2911"/>
  <c r="DX1" i="2911"/>
  <c r="DW1" i="2911"/>
  <c r="DV1" i="2911"/>
  <c r="DU1" i="2911"/>
  <c r="DT1" i="2911"/>
  <c r="DS1" i="2911"/>
  <c r="DR1" i="2911"/>
  <c r="DQ1" i="2911"/>
  <c r="DP1" i="2911"/>
  <c r="DO1" i="2911"/>
  <c r="DN1" i="2911"/>
  <c r="DM1" i="2911"/>
  <c r="DL1" i="2911"/>
  <c r="DK1" i="2911"/>
  <c r="DJ1" i="2911"/>
  <c r="DI1" i="2911"/>
  <c r="DH1" i="2911"/>
  <c r="DG1" i="2911"/>
  <c r="DF1" i="2911"/>
  <c r="DE1" i="2911"/>
  <c r="DD1" i="2911"/>
  <c r="DC1" i="2911"/>
  <c r="DB1" i="2911"/>
  <c r="DA1" i="2911"/>
  <c r="CZ1" i="2911"/>
  <c r="CY1" i="2911"/>
  <c r="CX1" i="2911"/>
  <c r="CW1" i="2911"/>
  <c r="CV1" i="2911"/>
  <c r="CU1" i="2911"/>
  <c r="CT1" i="2911"/>
  <c r="CS1" i="2911"/>
  <c r="CR1" i="2911"/>
  <c r="CQ1" i="2911"/>
  <c r="CP1" i="2911"/>
  <c r="CO1" i="2911"/>
  <c r="CN1" i="2911"/>
  <c r="CM1" i="2911"/>
  <c r="CL1" i="2911"/>
  <c r="CK1" i="2911"/>
  <c r="CJ1" i="2911"/>
  <c r="CI1" i="2911"/>
  <c r="CH1" i="2911"/>
  <c r="CG1" i="2911"/>
  <c r="CF1" i="2911"/>
  <c r="CE1" i="2911"/>
  <c r="CD1" i="2911"/>
  <c r="CC1" i="2911"/>
  <c r="CB1" i="2911"/>
  <c r="CA1" i="2911"/>
  <c r="BZ1" i="2911"/>
  <c r="BY1" i="2911"/>
  <c r="BX1" i="2911"/>
  <c r="BW1" i="2911"/>
  <c r="BV1" i="2911"/>
  <c r="BU1" i="2911"/>
  <c r="BT1" i="2911"/>
  <c r="BS1" i="2911"/>
  <c r="BR1" i="2911"/>
  <c r="BQ1" i="2911"/>
  <c r="BP1" i="2911"/>
  <c r="BO1" i="2911"/>
  <c r="BN1" i="2911"/>
  <c r="BM1" i="2911"/>
  <c r="BL1" i="2911"/>
  <c r="BK1" i="2911"/>
  <c r="BJ1" i="2911"/>
  <c r="BI1" i="2911"/>
  <c r="BH1" i="2911"/>
  <c r="BG1" i="2911"/>
  <c r="BF1" i="2911"/>
  <c r="BE1" i="2911"/>
  <c r="BD1" i="2911"/>
  <c r="BC1" i="2911"/>
  <c r="BB1" i="2911"/>
  <c r="BA1" i="2911"/>
  <c r="AZ1" i="2911"/>
  <c r="AY1" i="2911"/>
  <c r="AX1" i="2911"/>
  <c r="AW1" i="2911"/>
  <c r="AV1" i="2911"/>
  <c r="AU1" i="2911"/>
  <c r="AT1" i="2911"/>
  <c r="AS1" i="2911"/>
  <c r="AR1" i="2911"/>
  <c r="AQ1" i="2911"/>
  <c r="AP1" i="2911"/>
  <c r="AO1" i="2911"/>
  <c r="AN1" i="2911"/>
  <c r="AM1" i="2911"/>
  <c r="AL1" i="2911"/>
  <c r="AK1" i="2911"/>
  <c r="AJ1" i="2911"/>
  <c r="AI1" i="2911"/>
  <c r="AH1" i="2911"/>
  <c r="AG1" i="2911"/>
  <c r="AF1" i="2911"/>
  <c r="AE1" i="2911"/>
  <c r="AD1" i="2911"/>
  <c r="AC1" i="2911"/>
  <c r="AB1" i="2911"/>
  <c r="AA1" i="2911"/>
  <c r="Z1" i="2911"/>
  <c r="Y1" i="2911"/>
  <c r="X1" i="2911"/>
  <c r="W1" i="2911"/>
  <c r="V1" i="2911"/>
  <c r="U1" i="2911"/>
  <c r="T1" i="2911"/>
  <c r="S1" i="2911"/>
  <c r="R1" i="2911"/>
  <c r="Q1" i="2911"/>
  <c r="P1" i="2911"/>
  <c r="O1" i="2911"/>
  <c r="N1" i="2911"/>
  <c r="M1" i="2911"/>
  <c r="L1" i="2911"/>
  <c r="K1" i="2911"/>
  <c r="J1" i="2911"/>
  <c r="I1" i="2911"/>
  <c r="H1" i="2911"/>
  <c r="G1" i="2911"/>
  <c r="F1" i="2911"/>
  <c r="E1" i="2911"/>
  <c r="D1" i="2911"/>
  <c r="C1" i="2911"/>
  <c r="B1" i="2911"/>
  <c r="A1" i="2911"/>
  <c r="T72" i="1"/>
  <c r="U72" i="1"/>
  <c r="B72" i="1"/>
  <c r="C72" i="1"/>
  <c r="D72" i="1"/>
  <c r="E72" i="1"/>
  <c r="F72" i="1"/>
  <c r="G72" i="1"/>
  <c r="H72" i="1"/>
  <c r="I72" i="1"/>
  <c r="J72" i="1"/>
  <c r="K72" i="1"/>
  <c r="L72" i="1"/>
  <c r="M72" i="1"/>
  <c r="N72" i="1"/>
  <c r="O72" i="1"/>
  <c r="P72" i="1"/>
  <c r="Q72" i="1"/>
  <c r="R72" i="1"/>
  <c r="S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B75" i="1"/>
  <c r="ER2" i="491"/>
  <c r="EO2" i="491"/>
  <c r="EK2" i="491"/>
  <c r="EJ2" i="491"/>
  <c r="EH2" i="491"/>
  <c r="DU2" i="491"/>
  <c r="AO2" i="491"/>
  <c r="DM2" i="491" s="1"/>
  <c r="CI2" i="491"/>
  <c r="CG2" i="491"/>
  <c r="S2" i="491"/>
  <c r="CE2" i="491" s="1"/>
  <c r="CO2" i="491" s="1"/>
  <c r="CD2" i="491"/>
  <c r="CL2" i="491"/>
  <c r="BV2" i="491"/>
  <c r="BU2" i="491"/>
  <c r="BR2" i="491"/>
  <c r="V2" i="491"/>
  <c r="Y2" i="491" s="1"/>
  <c r="W2" i="491"/>
  <c r="T2" i="491"/>
  <c r="AJ2" i="491"/>
  <c r="AK2" i="491" s="1"/>
  <c r="EF9" i="654"/>
  <c r="EF8" i="654"/>
  <c r="EF7" i="654"/>
  <c r="EF6" i="654"/>
  <c r="EF5" i="654"/>
  <c r="EF4" i="654"/>
  <c r="EF3" i="654"/>
  <c r="EF2" i="654"/>
  <c r="AD54" i="654"/>
  <c r="AD3" i="654" s="1"/>
  <c r="AD55" i="654"/>
  <c r="BZ2" i="654"/>
  <c r="BZ3" i="654"/>
  <c r="BZ4" i="654"/>
  <c r="AD5" i="654"/>
  <c r="BZ5" i="654"/>
  <c r="BZ6" i="654"/>
  <c r="AY7" i="654"/>
  <c r="AD7" i="654" s="1"/>
  <c r="BZ8" i="654"/>
  <c r="BZ9" i="654"/>
  <c r="BZ10" i="654"/>
  <c r="BZ11" i="654"/>
  <c r="BZ12" i="654"/>
  <c r="BZ13" i="654"/>
  <c r="BZ14" i="654"/>
  <c r="B7" i="160"/>
  <c r="C7" i="160"/>
  <c r="D7" i="160"/>
  <c r="D25" i="160" s="1"/>
  <c r="E7" i="160"/>
  <c r="E25" i="160" s="1"/>
  <c r="F7" i="160"/>
  <c r="G7" i="160"/>
  <c r="H7" i="160"/>
  <c r="I7" i="160"/>
  <c r="I25" i="160" s="1"/>
  <c r="J7" i="160"/>
  <c r="K7" i="160"/>
  <c r="L7" i="160"/>
  <c r="L25" i="160" s="1"/>
  <c r="M7" i="160"/>
  <c r="M25" i="160" s="1"/>
  <c r="N7" i="160"/>
  <c r="O7" i="160"/>
  <c r="P7" i="160"/>
  <c r="Q7" i="160"/>
  <c r="Q25" i="160" s="1"/>
  <c r="R7" i="160"/>
  <c r="S7" i="160"/>
  <c r="S25" i="160"/>
  <c r="T7" i="160"/>
  <c r="T25" i="160" s="1"/>
  <c r="U7" i="160"/>
  <c r="U25" i="160" s="1"/>
  <c r="V7" i="160"/>
  <c r="W7" i="160"/>
  <c r="X7" i="160"/>
  <c r="Y7" i="160"/>
  <c r="Z7" i="160"/>
  <c r="Z25" i="160" s="1"/>
  <c r="AA7" i="160"/>
  <c r="AA25" i="160" s="1"/>
  <c r="AB7" i="160"/>
  <c r="AB25" i="160" s="1"/>
  <c r="AC7" i="160"/>
  <c r="AC25" i="160" s="1"/>
  <c r="AD7" i="160"/>
  <c r="AE7" i="160"/>
  <c r="AF7" i="160"/>
  <c r="AF25" i="160" s="1"/>
  <c r="AG7" i="160"/>
  <c r="AH7" i="160"/>
  <c r="AH25" i="160" s="1"/>
  <c r="AI7" i="160"/>
  <c r="AI25" i="160" s="1"/>
  <c r="AJ7" i="160"/>
  <c r="AJ25" i="160" s="1"/>
  <c r="AK7" i="160"/>
  <c r="AL7" i="160"/>
  <c r="AM7" i="160"/>
  <c r="AM25" i="160" s="1"/>
  <c r="AN7" i="160"/>
  <c r="AN25" i="160" s="1"/>
  <c r="AO7" i="160"/>
  <c r="AP7" i="160"/>
  <c r="AQ7" i="160"/>
  <c r="AR7" i="160"/>
  <c r="AS7" i="160"/>
  <c r="AT7" i="160"/>
  <c r="AU7" i="160"/>
  <c r="AV7" i="160"/>
  <c r="AV25" i="160"/>
  <c r="AW7" i="160"/>
  <c r="AW25" i="160" s="1"/>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s="1"/>
  <c r="C29" i="160"/>
  <c r="B1" i="654" s="1"/>
  <c r="D29" i="160"/>
  <c r="E29" i="160"/>
  <c r="E31" i="160"/>
  <c r="F29" i="160"/>
  <c r="E1" i="654" s="1"/>
  <c r="G29" i="160"/>
  <c r="H29" i="160"/>
  <c r="G1" i="654" s="1"/>
  <c r="I29" i="160"/>
  <c r="H1" i="654" s="1"/>
  <c r="J29" i="160"/>
  <c r="J31" i="160" s="1"/>
  <c r="K29" i="160"/>
  <c r="J1" i="654" s="1"/>
  <c r="L29" i="160"/>
  <c r="M29" i="160"/>
  <c r="M31" i="160"/>
  <c r="N29" i="160"/>
  <c r="M1" i="654" s="1"/>
  <c r="O29" i="160"/>
  <c r="P29" i="160"/>
  <c r="O1" i="654"/>
  <c r="Q29" i="160"/>
  <c r="Q31" i="160" s="1"/>
  <c r="R29" i="160"/>
  <c r="R31" i="160" s="1"/>
  <c r="S29" i="160"/>
  <c r="R1" i="654" s="1"/>
  <c r="T29" i="160"/>
  <c r="S1" i="654" s="1"/>
  <c r="U29" i="160"/>
  <c r="T1" i="654" s="1"/>
  <c r="V29" i="160"/>
  <c r="U1" i="654" s="1"/>
  <c r="W29" i="160"/>
  <c r="W31" i="160" s="1"/>
  <c r="X29" i="160"/>
  <c r="W1" i="654"/>
  <c r="Y29" i="160"/>
  <c r="X1" i="654" s="1"/>
  <c r="Z29" i="160"/>
  <c r="Z31" i="160"/>
  <c r="AA29" i="160"/>
  <c r="Z1" i="654" s="1"/>
  <c r="AB29" i="160"/>
  <c r="AC29" i="160"/>
  <c r="AC31" i="160" s="1"/>
  <c r="AD29" i="160"/>
  <c r="AC1" i="654" s="1"/>
  <c r="AE29" i="160"/>
  <c r="AD1" i="654" s="1"/>
  <c r="AF29" i="160"/>
  <c r="AE1" i="654" s="1"/>
  <c r="AG29" i="160"/>
  <c r="AF1" i="654" s="1"/>
  <c r="AG31" i="160"/>
  <c r="AH29" i="160"/>
  <c r="AI29" i="160"/>
  <c r="AJ29" i="160"/>
  <c r="AI1" i="654" s="1"/>
  <c r="AK29" i="160"/>
  <c r="AK31" i="160" s="1"/>
  <c r="AL29" i="160"/>
  <c r="AL31" i="160" s="1"/>
  <c r="AM29" i="160"/>
  <c r="AN29" i="160"/>
  <c r="AN31" i="160" s="1"/>
  <c r="AM1" i="654"/>
  <c r="AO29" i="160"/>
  <c r="AN1" i="654" s="1"/>
  <c r="AP29" i="160"/>
  <c r="AQ29" i="160"/>
  <c r="AR29" i="160"/>
  <c r="AQ1" i="654"/>
  <c r="AS29" i="160"/>
  <c r="AR1" i="654" s="1"/>
  <c r="AT29" i="160"/>
  <c r="AU29" i="160"/>
  <c r="AT1" i="654" s="1"/>
  <c r="AV29" i="160"/>
  <c r="AU1" i="654" s="1"/>
  <c r="AW29" i="160"/>
  <c r="AW31" i="160"/>
  <c r="AX29" i="160"/>
  <c r="AX31" i="160" s="1"/>
  <c r="AY29" i="160"/>
  <c r="AY31" i="160" s="1"/>
  <c r="AZ29" i="160"/>
  <c r="AY1" i="654" s="1"/>
  <c r="BA29" i="160"/>
  <c r="BA31" i="160" s="1"/>
  <c r="BB29" i="160"/>
  <c r="BA1" i="654" s="1"/>
  <c r="BC29" i="160"/>
  <c r="BC31" i="160" s="1"/>
  <c r="BB1" i="654"/>
  <c r="BD29" i="160"/>
  <c r="BE29" i="160"/>
  <c r="BF29" i="160"/>
  <c r="BF31" i="160" s="1"/>
  <c r="BG29" i="160"/>
  <c r="BF1" i="654" s="1"/>
  <c r="BH29" i="160"/>
  <c r="BG1" i="654" s="1"/>
  <c r="BI29" i="160"/>
  <c r="BH1" i="654" s="1"/>
  <c r="BJ29" i="160"/>
  <c r="BK29" i="160"/>
  <c r="BL29" i="160"/>
  <c r="BK1" i="654" s="1"/>
  <c r="BM29" i="160"/>
  <c r="BM31" i="160" s="1"/>
  <c r="BN29" i="160"/>
  <c r="BO29" i="160"/>
  <c r="BN1" i="654"/>
  <c r="BP29" i="160"/>
  <c r="BQ29" i="160"/>
  <c r="BP1" i="654"/>
  <c r="BR29" i="160"/>
  <c r="BR31" i="160" s="1"/>
  <c r="BS29" i="160"/>
  <c r="BR1" i="654"/>
  <c r="BT29" i="160"/>
  <c r="BU29" i="160"/>
  <c r="BT1" i="654" s="1"/>
  <c r="BV29" i="160"/>
  <c r="BU1" i="654" s="1"/>
  <c r="BW29" i="160"/>
  <c r="BV1" i="654" s="1"/>
  <c r="BX29" i="160"/>
  <c r="BW1" i="654" s="1"/>
  <c r="BY29" i="160"/>
  <c r="BX1" i="654" s="1"/>
  <c r="BY31" i="160"/>
  <c r="BZ29" i="160"/>
  <c r="CA29" i="160"/>
  <c r="CB29" i="160"/>
  <c r="CA1" i="654" s="1"/>
  <c r="CC29" i="160"/>
  <c r="CC31" i="160" s="1"/>
  <c r="CD29" i="160"/>
  <c r="CD31" i="160" s="1"/>
  <c r="CE29" i="160"/>
  <c r="CD1" i="654" s="1"/>
  <c r="CF29" i="160"/>
  <c r="CE1" i="654" s="1"/>
  <c r="CG29" i="160"/>
  <c r="CG31" i="160"/>
  <c r="CH29" i="160"/>
  <c r="CH31" i="160" s="1"/>
  <c r="CI29" i="160"/>
  <c r="CH1" i="654"/>
  <c r="CJ29" i="160"/>
  <c r="CI1" i="654" s="1"/>
  <c r="CK29" i="160"/>
  <c r="CJ1" i="654"/>
  <c r="CL29" i="160"/>
  <c r="CK1" i="654" s="1"/>
  <c r="CM29" i="160"/>
  <c r="CM31" i="160" s="1"/>
  <c r="CN29" i="160"/>
  <c r="CM1" i="654" s="1"/>
  <c r="CO29" i="160"/>
  <c r="CO31" i="160" s="1"/>
  <c r="CP29" i="160"/>
  <c r="CO1" i="654" s="1"/>
  <c r="CP31" i="160"/>
  <c r="CQ29" i="160"/>
  <c r="CR29" i="160"/>
  <c r="CQ1" i="654"/>
  <c r="CS29" i="160"/>
  <c r="CR1" i="654" s="1"/>
  <c r="CT29" i="160"/>
  <c r="CS1" i="654"/>
  <c r="CU29" i="160"/>
  <c r="CV29" i="160"/>
  <c r="CU1" i="654" s="1"/>
  <c r="CW29" i="160"/>
  <c r="CV1" i="654" s="1"/>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s="1"/>
  <c r="D38" i="160"/>
  <c r="E38" i="160"/>
  <c r="E40" i="160"/>
  <c r="F38" i="160"/>
  <c r="DA1" i="654" s="1"/>
  <c r="G38" i="160"/>
  <c r="DB1" i="654"/>
  <c r="H38" i="160"/>
  <c r="I38" i="160"/>
  <c r="I40" i="160"/>
  <c r="J38" i="160"/>
  <c r="DE1" i="654" s="1"/>
  <c r="K38" i="160"/>
  <c r="L38" i="160"/>
  <c r="DG1" i="654" s="1"/>
  <c r="M38" i="160"/>
  <c r="M40" i="160" s="1"/>
  <c r="N38" i="160"/>
  <c r="O38" i="160"/>
  <c r="P38" i="160"/>
  <c r="P40" i="160" s="1"/>
  <c r="Q38" i="160"/>
  <c r="Q40" i="160"/>
  <c r="R38" i="160"/>
  <c r="DM1" i="654" s="1"/>
  <c r="S38" i="160"/>
  <c r="S40" i="160" s="1"/>
  <c r="T38" i="160"/>
  <c r="T40" i="160" s="1"/>
  <c r="U38" i="160"/>
  <c r="DP1" i="654"/>
  <c r="V38" i="160"/>
  <c r="DQ1" i="654" s="1"/>
  <c r="W38" i="160"/>
  <c r="DR1" i="654"/>
  <c r="X38" i="160"/>
  <c r="X40" i="160" s="1"/>
  <c r="Y38" i="160"/>
  <c r="DT1" i="654" s="1"/>
  <c r="Y40" i="160"/>
  <c r="Z38" i="160"/>
  <c r="DU1" i="654" s="1"/>
  <c r="AA38" i="160"/>
  <c r="AB38" i="160"/>
  <c r="AB40" i="160" s="1"/>
  <c r="AC38" i="160"/>
  <c r="DX1" i="654" s="1"/>
  <c r="AC40" i="160"/>
  <c r="AD38" i="160"/>
  <c r="AD40" i="160" s="1"/>
  <c r="AE38" i="160"/>
  <c r="DZ1" i="654" s="1"/>
  <c r="AF38" i="160"/>
  <c r="AF40" i="160" s="1"/>
  <c r="AG38" i="160"/>
  <c r="AG40" i="160"/>
  <c r="AH38" i="160"/>
  <c r="EC1" i="654" s="1"/>
  <c r="AI38" i="160"/>
  <c r="AI40" i="160" s="1"/>
  <c r="ED1" i="654"/>
  <c r="AJ38" i="160"/>
  <c r="AJ40" i="160" s="1"/>
  <c r="AK38" i="160"/>
  <c r="AK40" i="160"/>
  <c r="AL38" i="160"/>
  <c r="EG1" i="654" s="1"/>
  <c r="AM38" i="160"/>
  <c r="AM40" i="160"/>
  <c r="AN38" i="160"/>
  <c r="AN40" i="160" s="1"/>
  <c r="AO38" i="160"/>
  <c r="EJ1" i="654" s="1"/>
  <c r="AO40" i="160"/>
  <c r="AP38" i="160"/>
  <c r="EK1" i="654" s="1"/>
  <c r="AQ38" i="160"/>
  <c r="EL1" i="654" s="1"/>
  <c r="AR38" i="160"/>
  <c r="EM1" i="654" s="1"/>
  <c r="AS38" i="160"/>
  <c r="EN1" i="654" s="1"/>
  <c r="AT38" i="160"/>
  <c r="EO1" i="654" s="1"/>
  <c r="AU38" i="160"/>
  <c r="EP1" i="654" s="1"/>
  <c r="AV38" i="160"/>
  <c r="EQ1" i="654" s="1"/>
  <c r="AW38" i="160"/>
  <c r="AW40" i="160"/>
  <c r="AX38" i="160"/>
  <c r="AY38" i="160"/>
  <c r="ET1" i="654" s="1"/>
  <c r="AZ38" i="160"/>
  <c r="AZ40" i="160" s="1"/>
  <c r="BA38" i="160"/>
  <c r="EV1" i="654"/>
  <c r="BB38" i="160"/>
  <c r="EW1" i="654" s="1"/>
  <c r="BC38" i="160"/>
  <c r="EX1" i="654"/>
  <c r="BD38" i="160"/>
  <c r="BD40" i="160" s="1"/>
  <c r="BE38" i="160"/>
  <c r="EZ1" i="654"/>
  <c r="BF38" i="160"/>
  <c r="FA1" i="654" s="1"/>
  <c r="BG38" i="160"/>
  <c r="FB1" i="654" s="1"/>
  <c r="BH38" i="160"/>
  <c r="BH40" i="160" s="1"/>
  <c r="BI38" i="160"/>
  <c r="BI40" i="160" s="1"/>
  <c r="BJ38" i="160"/>
  <c r="BK38" i="160"/>
  <c r="BL38" i="160"/>
  <c r="BL40" i="160" s="1"/>
  <c r="BM38" i="160"/>
  <c r="BM40" i="160"/>
  <c r="BN38" i="160"/>
  <c r="BN40" i="160" s="1"/>
  <c r="BO38" i="160"/>
  <c r="FJ1" i="654" s="1"/>
  <c r="BP38" i="160"/>
  <c r="FK1" i="654" s="1"/>
  <c r="BQ38" i="160"/>
  <c r="BQ40" i="160"/>
  <c r="BR38" i="160"/>
  <c r="FM1" i="654" s="1"/>
  <c r="BS38" i="160"/>
  <c r="BS40" i="160"/>
  <c r="BT38" i="160"/>
  <c r="FO1" i="654" s="1"/>
  <c r="BU38" i="160"/>
  <c r="FP1" i="654"/>
  <c r="BV38" i="160"/>
  <c r="FQ1" i="654" s="1"/>
  <c r="BW38" i="160"/>
  <c r="FR1" i="654" s="1"/>
  <c r="BX38" i="160"/>
  <c r="FS1" i="654" s="1"/>
  <c r="BY38" i="160"/>
  <c r="BY40" i="160" s="1"/>
  <c r="BZ38" i="160"/>
  <c r="CA38" i="160"/>
  <c r="FV1" i="654" s="1"/>
  <c r="CB38" i="160"/>
  <c r="CC38" i="160"/>
  <c r="CC40" i="160"/>
  <c r="CD38" i="160"/>
  <c r="CE38" i="160"/>
  <c r="CE40" i="160" s="1"/>
  <c r="CF38" i="160"/>
  <c r="CG38" i="160"/>
  <c r="GB1" i="654"/>
  <c r="CH38" i="160"/>
  <c r="GC1" i="654" s="1"/>
  <c r="CI38" i="160"/>
  <c r="CI40" i="160"/>
  <c r="CJ38" i="160"/>
  <c r="CJ40" i="160" s="1"/>
  <c r="CK38" i="160"/>
  <c r="CK40" i="160"/>
  <c r="CL38" i="160"/>
  <c r="GG1" i="654" s="1"/>
  <c r="CM38" i="160"/>
  <c r="GH1" i="654" s="1"/>
  <c r="CN38" i="160"/>
  <c r="CN40" i="160" s="1"/>
  <c r="CO38" i="160"/>
  <c r="GJ1" i="654"/>
  <c r="CP38" i="160"/>
  <c r="GK1" i="654" s="1"/>
  <c r="CQ38" i="160"/>
  <c r="GL1" i="654" s="1"/>
  <c r="CR38" i="160"/>
  <c r="GM1" i="654" s="1"/>
  <c r="CS38" i="160"/>
  <c r="CS40" i="160"/>
  <c r="CT38" i="160"/>
  <c r="GO1" i="654" s="1"/>
  <c r="CU38" i="160"/>
  <c r="CU40" i="160"/>
  <c r="CV38" i="160"/>
  <c r="CV40" i="160" s="1"/>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s="1"/>
  <c r="C47" i="160"/>
  <c r="GT1" i="654"/>
  <c r="D47" i="160"/>
  <c r="E47" i="160"/>
  <c r="GV1" i="654" s="1"/>
  <c r="E49" i="160"/>
  <c r="F47" i="160"/>
  <c r="GW1" i="654" s="1"/>
  <c r="G47" i="160"/>
  <c r="H47" i="160"/>
  <c r="GY1" i="654" s="1"/>
  <c r="I47" i="160"/>
  <c r="GZ1" i="654" s="1"/>
  <c r="J47" i="160"/>
  <c r="HA1" i="654" s="1"/>
  <c r="K47" i="160"/>
  <c r="HB1" i="654" s="1"/>
  <c r="L47" i="160"/>
  <c r="M47" i="160"/>
  <c r="M49" i="160"/>
  <c r="N47" i="160"/>
  <c r="O47" i="160"/>
  <c r="O49" i="160" s="1"/>
  <c r="P47" i="160"/>
  <c r="HG1" i="654" s="1"/>
  <c r="Q47" i="160"/>
  <c r="Q49" i="160"/>
  <c r="R47" i="160"/>
  <c r="HI1" i="654" s="1"/>
  <c r="S47" i="160"/>
  <c r="HJ1" i="654"/>
  <c r="T47" i="160"/>
  <c r="T49" i="160" s="1"/>
  <c r="U47" i="160"/>
  <c r="HL1" i="654"/>
  <c r="V47" i="160"/>
  <c r="HM1" i="654" s="1"/>
  <c r="W47" i="160"/>
  <c r="W49" i="160" s="1"/>
  <c r="X47" i="160"/>
  <c r="X49" i="160" s="1"/>
  <c r="Y47" i="160"/>
  <c r="HP1" i="654" s="1"/>
  <c r="Z47" i="160"/>
  <c r="Z49" i="160" s="1"/>
  <c r="AA47" i="160"/>
  <c r="AB47" i="160"/>
  <c r="HS1" i="654" s="1"/>
  <c r="AC47" i="160"/>
  <c r="AC49" i="160"/>
  <c r="AD47" i="160"/>
  <c r="HU1" i="654" s="1"/>
  <c r="AE47" i="160"/>
  <c r="HV1" i="654" s="1"/>
  <c r="AF47" i="160"/>
  <c r="HW1" i="654" s="1"/>
  <c r="AG47" i="160"/>
  <c r="HX1" i="654"/>
  <c r="AH47" i="160"/>
  <c r="HY1" i="654" s="1"/>
  <c r="AI47" i="160"/>
  <c r="AI49" i="160"/>
  <c r="AJ47" i="160"/>
  <c r="IA1" i="654" s="1"/>
  <c r="AK47" i="160"/>
  <c r="AK49" i="160" s="1"/>
  <c r="IB1" i="654"/>
  <c r="AL47" i="160"/>
  <c r="AL49" i="160" s="1"/>
  <c r="AM47" i="160"/>
  <c r="ID1" i="654" s="1"/>
  <c r="AN47" i="160"/>
  <c r="IE1" i="654" s="1"/>
  <c r="AO47" i="160"/>
  <c r="IF1" i="654" s="1"/>
  <c r="AP47" i="160"/>
  <c r="IG1" i="654" s="1"/>
  <c r="AQ47" i="160"/>
  <c r="AR47" i="160"/>
  <c r="II1" i="654" s="1"/>
  <c r="AS47" i="160"/>
  <c r="IJ1" i="654"/>
  <c r="AT47" i="160"/>
  <c r="IK1" i="654" s="1"/>
  <c r="AU47" i="160"/>
  <c r="IL1" i="654" s="1"/>
  <c r="AV47" i="160"/>
  <c r="IM1" i="654" s="1"/>
  <c r="AW47" i="160"/>
  <c r="AW49" i="160"/>
  <c r="AX47" i="160"/>
  <c r="AX49" i="160" s="1"/>
  <c r="AY47" i="160"/>
  <c r="AY49" i="160"/>
  <c r="AZ47" i="160"/>
  <c r="IQ1" i="654" s="1"/>
  <c r="BA47" i="160"/>
  <c r="BA49" i="160"/>
  <c r="BB47" i="160"/>
  <c r="BB49" i="160" s="1"/>
  <c r="BC47" i="160"/>
  <c r="IT1" i="654" s="1"/>
  <c r="BD47" i="160"/>
  <c r="BD49" i="160" s="1"/>
  <c r="BE47" i="160"/>
  <c r="IV1" i="654" s="1"/>
  <c r="BE49" i="160"/>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P31" i="160"/>
  <c r="BE40" i="160"/>
  <c r="AF31" i="160"/>
  <c r="AZ31" i="160"/>
  <c r="T31" i="160"/>
  <c r="AR31" i="160"/>
  <c r="CB31" i="160"/>
  <c r="AV31" i="160"/>
  <c r="CN31" i="160"/>
  <c r="CJ31" i="160"/>
  <c r="I31" i="160"/>
  <c r="BQ31" i="160"/>
  <c r="CW31" i="160"/>
  <c r="Y31" i="160"/>
  <c r="AO31" i="160"/>
  <c r="U49" i="160"/>
  <c r="CR31" i="160"/>
  <c r="X31" i="160"/>
  <c r="AE31" i="160"/>
  <c r="BX31" i="160"/>
  <c r="AJ31" i="160"/>
  <c r="H31" i="160"/>
  <c r="BU40" i="160"/>
  <c r="CF31" i="160"/>
  <c r="CS31" i="160"/>
  <c r="CK31" i="160"/>
  <c r="CR40" i="160"/>
  <c r="BO31" i="160"/>
  <c r="HT1" i="654"/>
  <c r="BF40" i="160"/>
  <c r="AH40" i="160"/>
  <c r="AS40" i="160"/>
  <c r="BT40" i="160"/>
  <c r="DX2" i="491"/>
  <c r="AD2" i="491"/>
  <c r="AC2" i="491"/>
  <c r="BZ2" i="491" s="1"/>
  <c r="EB2" i="491"/>
  <c r="AS2" i="491"/>
  <c r="CJ2" i="491"/>
  <c r="DO2" i="491"/>
  <c r="EA2" i="491"/>
  <c r="CT31" i="160"/>
  <c r="BV31" i="160"/>
  <c r="CL31" i="160"/>
  <c r="CH40" i="160"/>
  <c r="AY40" i="160"/>
  <c r="AS31" i="160"/>
  <c r="BB40" i="160"/>
  <c r="CM40" i="160"/>
  <c r="AR49" i="160"/>
  <c r="BX40" i="160"/>
  <c r="BG31" i="160"/>
  <c r="L40" i="160"/>
  <c r="S31" i="160"/>
  <c r="AD49" i="160"/>
  <c r="CW40" i="160"/>
  <c r="C31" i="160"/>
  <c r="F49" i="160"/>
  <c r="C49" i="160"/>
  <c r="AD31" i="160"/>
  <c r="AN49" i="160"/>
  <c r="G40" i="160"/>
  <c r="F31" i="160"/>
  <c r="HH1" i="654"/>
  <c r="GS1" i="654"/>
  <c r="W40" i="160"/>
  <c r="BB31" i="160"/>
  <c r="CA40" i="160"/>
  <c r="AE40" i="160"/>
  <c r="BC40" i="160"/>
  <c r="N31" i="160"/>
  <c r="AP49" i="160"/>
  <c r="AH49" i="160"/>
  <c r="AG49" i="160"/>
  <c r="AS49" i="160"/>
  <c r="CT40" i="160"/>
  <c r="CL40" i="160"/>
  <c r="Y49" i="160"/>
  <c r="DL1" i="654"/>
  <c r="HZ1" i="654"/>
  <c r="IR1" i="654"/>
  <c r="HD1" i="654"/>
  <c r="GP1" i="654"/>
  <c r="GD1" i="654"/>
  <c r="FX1" i="654"/>
  <c r="FN1" i="654"/>
  <c r="DD1" i="654"/>
  <c r="BE1" i="654"/>
  <c r="AJ1" i="654"/>
  <c r="HQ1" i="654"/>
  <c r="FT1" i="654"/>
  <c r="EH1" i="654"/>
  <c r="I1" i="654"/>
  <c r="H49" i="160"/>
  <c r="S49" i="160"/>
  <c r="CG40" i="160"/>
  <c r="AJ49" i="160"/>
  <c r="CQ40" i="160"/>
  <c r="IN1" i="654"/>
  <c r="CO40" i="160"/>
  <c r="ER1" i="654"/>
  <c r="BA40" i="160"/>
  <c r="C40" i="160"/>
  <c r="AP40" i="160"/>
  <c r="AF49" i="160"/>
  <c r="F40" i="160"/>
  <c r="EI1" i="654"/>
  <c r="Y1" i="654"/>
  <c r="D1" i="654"/>
  <c r="U40" i="160"/>
  <c r="Z40" i="160"/>
  <c r="AL40" i="160"/>
  <c r="DH1" i="654"/>
  <c r="CF1" i="654"/>
  <c r="AQ31" i="160"/>
  <c r="AP1" i="654"/>
  <c r="CG1" i="654"/>
  <c r="BQ1" i="654"/>
  <c r="BL1" i="654"/>
  <c r="AK1" i="654"/>
  <c r="P1" i="654"/>
  <c r="IS1" i="654"/>
  <c r="FC1" i="654"/>
  <c r="CB1" i="654"/>
  <c r="EF1" i="654"/>
  <c r="DW1" i="654"/>
  <c r="FH1" i="654"/>
  <c r="EY1" i="654"/>
  <c r="R49" i="160"/>
  <c r="FD1" i="654"/>
  <c r="Q1" i="654"/>
  <c r="L1" i="654"/>
  <c r="AM31" i="160"/>
  <c r="AL1" i="654"/>
  <c r="V1" i="654"/>
  <c r="G31" i="160"/>
  <c r="F1" i="654"/>
  <c r="CU31" i="160"/>
  <c r="CT1" i="654"/>
  <c r="AI31" i="160"/>
  <c r="AH1" i="654"/>
  <c r="GI1" i="654"/>
  <c r="FL1" i="654"/>
  <c r="CZ1" i="654"/>
  <c r="IO1" i="654"/>
  <c r="EB1" i="654"/>
  <c r="K31" i="160"/>
  <c r="CC1" i="654"/>
  <c r="AW1" i="654"/>
  <c r="J49" i="160"/>
  <c r="BS31" i="160"/>
  <c r="GF1" i="654"/>
  <c r="GN1" i="654"/>
  <c r="V49" i="160"/>
  <c r="CN1" i="654"/>
  <c r="AB1" i="654"/>
  <c r="IP1" i="654"/>
  <c r="AR40" i="160"/>
  <c r="CE31" i="160"/>
  <c r="CI31" i="160"/>
  <c r="IC1" i="654"/>
  <c r="CQ31" i="160"/>
  <c r="CP1" i="654"/>
  <c r="BK31" i="160"/>
  <c r="BJ1" i="654"/>
  <c r="O31" i="160"/>
  <c r="N1" i="654"/>
  <c r="AV1" i="654"/>
  <c r="BW31" i="160"/>
  <c r="J40" i="160"/>
  <c r="BV40" i="160"/>
  <c r="AB49" i="160"/>
  <c r="V40" i="160"/>
  <c r="BR40" i="160"/>
  <c r="IU1" i="654"/>
  <c r="HO1" i="654"/>
  <c r="HK1" i="654"/>
  <c r="FI1" i="654"/>
  <c r="BG2" i="491"/>
  <c r="AW2" i="491"/>
  <c r="BB2" i="491"/>
  <c r="EC2" i="491"/>
  <c r="B10" i="160"/>
  <c r="E10" i="160"/>
  <c r="O6" i="1"/>
  <c r="Q6" i="1"/>
  <c r="L10" i="160"/>
  <c r="D6" i="1"/>
  <c r="B6" i="1"/>
  <c r="I6" i="1"/>
  <c r="Q10" i="160"/>
  <c r="C10" i="160"/>
  <c r="M10" i="160"/>
  <c r="I10" i="160"/>
  <c r="H10" i="160"/>
  <c r="S6" i="1"/>
  <c r="R6" i="1"/>
  <c r="N6" i="1"/>
  <c r="S10" i="160"/>
  <c r="N10" i="160"/>
  <c r="G10" i="160"/>
  <c r="C6" i="1"/>
  <c r="P6" i="1"/>
  <c r="M6" i="1"/>
  <c r="J10" i="160"/>
  <c r="K10" i="160"/>
  <c r="F10" i="160"/>
  <c r="D10" i="160"/>
  <c r="L6" i="1"/>
  <c r="E6" i="1"/>
  <c r="P10" i="160"/>
  <c r="G6" i="1"/>
  <c r="R10" i="160"/>
  <c r="O10" i="160"/>
  <c r="K6" i="1"/>
  <c r="F6" i="1"/>
  <c r="J6" i="1"/>
  <c r="H6" i="1"/>
  <c r="CL1" i="654" l="1"/>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s="1"/>
  <c r="Z2" i="491"/>
  <c r="AF2" i="491"/>
  <c r="DY2" i="491"/>
  <c r="DW2" i="491" s="1"/>
  <c r="AA2" i="491"/>
  <c r="CF2" i="491"/>
  <c r="AL2" i="491"/>
  <c r="AM2" i="491"/>
  <c r="DS2" i="491"/>
  <c r="DN2" i="491"/>
  <c r="AD14" i="654"/>
  <c r="AD10" i="654"/>
  <c r="AD6" i="654"/>
  <c r="AD2" i="654"/>
  <c r="X2" i="491"/>
  <c r="AD13" i="654"/>
  <c r="AD9" i="654"/>
  <c r="AD12" i="654"/>
  <c r="AD8" i="654"/>
  <c r="BZ7" i="654"/>
  <c r="AD4" i="654"/>
  <c r="AD11" i="654"/>
  <c r="GT4" i="2911"/>
  <c r="DH4" i="2911"/>
  <c r="CA4" i="2911"/>
  <c r="R4" i="2911"/>
  <c r="GK7" i="2911"/>
  <c r="DG7" i="2911"/>
  <c r="EU7" i="2911"/>
  <c r="BE7" i="2911"/>
  <c r="GZ8" i="2911"/>
  <c r="DL8" i="2911"/>
  <c r="AV8" i="2911"/>
  <c r="DZ8" i="2911"/>
  <c r="IH12" i="2911"/>
  <c r="EA12" i="2911"/>
  <c r="AJ12" i="2911"/>
  <c r="BL12" i="2911"/>
  <c r="FX5" i="2911"/>
  <c r="DI5" i="2911"/>
  <c r="AW5" i="2911"/>
  <c r="FG5" i="2911"/>
  <c r="HE13" i="2911"/>
  <c r="IB13" i="2911"/>
  <c r="AW13" i="2911"/>
  <c r="AS13" i="2911"/>
  <c r="HY15" i="2911"/>
  <c r="FY15" i="2911"/>
  <c r="AI15" i="2911"/>
  <c r="BJ15" i="2911"/>
  <c r="GS16" i="2911"/>
  <c r="EL16" i="2911"/>
  <c r="BS16" i="2911"/>
  <c r="AY16" i="2911"/>
  <c r="GK6" i="2911"/>
  <c r="CL6" i="2911"/>
  <c r="EC6" i="2911"/>
  <c r="BX6" i="2911"/>
  <c r="FE14" i="2911"/>
  <c r="EP14" i="2911"/>
  <c r="BS14" i="2911"/>
  <c r="V14" i="2911"/>
  <c r="GR9" i="2911"/>
  <c r="EQ9" i="2911"/>
  <c r="BI9" i="2911"/>
  <c r="BW9" i="2911"/>
  <c r="HI17" i="2911"/>
  <c r="DQ17" i="2911"/>
  <c r="BA17" i="2911"/>
  <c r="D17" i="2911"/>
  <c r="GR2" i="2911"/>
  <c r="DV2" i="2911"/>
  <c r="BF2" i="2911"/>
  <c r="CR2" i="2911"/>
  <c r="FQ10" i="2911"/>
  <c r="DF10" i="2911"/>
  <c r="HB4" i="2911"/>
  <c r="FR4" i="2911"/>
  <c r="AQ4" i="2911"/>
  <c r="AM4" i="2911"/>
  <c r="GX7" i="2911"/>
  <c r="EN7" i="2911"/>
  <c r="BN7" i="2911"/>
  <c r="BK7" i="2911"/>
  <c r="HC8" i="2911"/>
  <c r="GY8" i="2911"/>
  <c r="AU8" i="2911"/>
  <c r="AT8" i="2911"/>
  <c r="ID12" i="2911"/>
  <c r="GH12" i="2911"/>
  <c r="BO12" i="2911"/>
  <c r="AF12" i="2911"/>
  <c r="GS5" i="2911"/>
  <c r="GL5" i="2911"/>
  <c r="BL5" i="2911"/>
  <c r="BT5" i="2911"/>
  <c r="GV13" i="2911"/>
  <c r="HI13" i="2911"/>
  <c r="BD13" i="2911"/>
  <c r="EA13" i="2911"/>
  <c r="GE15" i="2911"/>
  <c r="GD15" i="2911"/>
  <c r="EW15" i="2911"/>
  <c r="CT15" i="2911"/>
  <c r="HD16" i="2911"/>
  <c r="DC16" i="2911"/>
  <c r="AM16" i="2911"/>
  <c r="N16" i="2911"/>
  <c r="HI6" i="2911"/>
  <c r="FI6" i="2911"/>
  <c r="AS6" i="2911"/>
  <c r="CG6" i="2911"/>
  <c r="IJ14" i="2911"/>
  <c r="DI14" i="2911"/>
  <c r="BQ14" i="2911"/>
  <c r="BW14" i="2911"/>
  <c r="IM9" i="2911"/>
  <c r="CZ9" i="2911"/>
  <c r="AR9" i="2911"/>
  <c r="AG9" i="2911"/>
  <c r="GG17" i="2911"/>
  <c r="DH17" i="2911"/>
  <c r="FC17" i="2911"/>
  <c r="Y17" i="2911"/>
  <c r="IC2" i="2911"/>
  <c r="CZ2" i="2911"/>
  <c r="DG2" i="2911"/>
  <c r="HL4" i="2911"/>
  <c r="DZ4" i="2911"/>
  <c r="CN4" i="2911"/>
  <c r="DQ4" i="2911"/>
  <c r="HH7" i="2911"/>
  <c r="IS7" i="2911"/>
  <c r="CG7" i="2911"/>
  <c r="CC7" i="2911"/>
  <c r="HP8" i="2911"/>
  <c r="ET8" i="2911"/>
  <c r="CZ8" i="2911"/>
  <c r="BE8" i="2911"/>
  <c r="HL12" i="2911"/>
  <c r="DJ12" i="2911"/>
  <c r="BZ12" i="2911"/>
  <c r="AW12" i="2911"/>
  <c r="IU5" i="2911"/>
  <c r="DG5" i="2911"/>
  <c r="II5" i="2911"/>
  <c r="AF5" i="2911"/>
  <c r="HF13" i="2911"/>
  <c r="FA13" i="2911"/>
  <c r="EM4" i="2911"/>
  <c r="GH4" i="2911"/>
  <c r="AG4" i="2911"/>
  <c r="B4" i="2911"/>
  <c r="FB7" i="2911"/>
  <c r="CQ7" i="2911"/>
  <c r="X7" i="2911"/>
  <c r="AN7" i="2911"/>
  <c r="EI8" i="2911"/>
  <c r="BX8" i="2911"/>
  <c r="U8" i="2911"/>
  <c r="BM8" i="2911"/>
  <c r="IP12" i="2911"/>
  <c r="IU12" i="2911"/>
  <c r="AG12" i="2911"/>
  <c r="BU12" i="2911"/>
  <c r="FM5" i="2911"/>
  <c r="GJ5" i="2911"/>
  <c r="BA5" i="2911"/>
  <c r="BQ5" i="2911"/>
  <c r="EZ13" i="2911"/>
  <c r="CG13" i="2911"/>
  <c r="F13" i="2911"/>
  <c r="AP13" i="2911"/>
  <c r="IV15" i="2911"/>
  <c r="CA15" i="2911"/>
  <c r="P15" i="2911"/>
  <c r="FQ15" i="2911"/>
  <c r="HI16" i="2911"/>
  <c r="CF16" i="2911"/>
  <c r="M16" i="2911"/>
  <c r="HM16" i="2911"/>
  <c r="HQ6" i="2911"/>
  <c r="DX6" i="2911"/>
  <c r="S6" i="2911"/>
  <c r="W6" i="2911"/>
  <c r="FZ14" i="2911"/>
  <c r="EY14" i="2911"/>
  <c r="AA14" i="2911"/>
  <c r="N14" i="2911"/>
  <c r="EV9" i="2911"/>
  <c r="CC9" i="2911"/>
  <c r="BL9" i="2911"/>
  <c r="E9" i="2911"/>
  <c r="HE17" i="2911"/>
  <c r="BU17" i="2911"/>
  <c r="DJ17" i="2911"/>
  <c r="F17" i="2911"/>
  <c r="GS2" i="2911"/>
  <c r="CY2" i="2911"/>
  <c r="BK2" i="2911"/>
  <c r="P2" i="2911"/>
  <c r="FV10" i="2911"/>
  <c r="CH10" i="2911"/>
  <c r="GK4" i="2911"/>
  <c r="FL4" i="2911"/>
  <c r="FG4" i="2911"/>
  <c r="Z4" i="2911"/>
  <c r="HG7" i="2911"/>
  <c r="HJ7" i="2911"/>
  <c r="CL7" i="2911"/>
  <c r="I7" i="2911"/>
  <c r="GJ8" i="2911"/>
  <c r="FP8" i="2911"/>
  <c r="GD8" i="2911"/>
  <c r="H8" i="2911"/>
  <c r="HZ12" i="2911"/>
  <c r="DP12" i="2911"/>
  <c r="FO12" i="2911"/>
  <c r="C12" i="2911"/>
  <c r="IA5" i="2911"/>
  <c r="DM5" i="2911"/>
  <c r="FY5" i="2911"/>
  <c r="Z5" i="2911"/>
  <c r="GK13" i="2911"/>
  <c r="FG13" i="2911"/>
  <c r="CZ13" i="2911"/>
  <c r="AG13" i="2911"/>
  <c r="HJ15" i="2911"/>
  <c r="EE15" i="2911"/>
  <c r="DJ15" i="2911"/>
  <c r="Q15" i="2911"/>
  <c r="GG16" i="2911"/>
  <c r="EB16" i="2911"/>
  <c r="BR16" i="2911"/>
  <c r="I16" i="2911"/>
  <c r="GM6" i="2911"/>
  <c r="DR6" i="2911"/>
  <c r="CP6" i="2911"/>
  <c r="AO6" i="2911"/>
  <c r="HX14" i="2911"/>
  <c r="FF14" i="2911"/>
  <c r="DM14" i="2911"/>
  <c r="AB14" i="2911"/>
  <c r="II9" i="2911"/>
  <c r="DY9" i="2911"/>
  <c r="DU9" i="2911"/>
  <c r="AC9" i="2911"/>
  <c r="IH17" i="2911"/>
  <c r="II17" i="2911"/>
  <c r="CX17" i="2911"/>
  <c r="BX17" i="2911"/>
  <c r="GL2" i="2911"/>
  <c r="DM2" i="2911"/>
  <c r="IQ4" i="2911"/>
  <c r="EZ4" i="2911"/>
  <c r="BY4" i="2911"/>
  <c r="BV4" i="2911"/>
  <c r="IP7" i="2911"/>
  <c r="EY7" i="2911"/>
  <c r="CV7" i="2911"/>
  <c r="AW7" i="2911"/>
  <c r="IU8" i="2911"/>
  <c r="EV8" i="2911"/>
  <c r="CS8" i="2911"/>
  <c r="BH8" i="2911"/>
  <c r="IQ12" i="2911"/>
  <c r="IE12" i="2911"/>
  <c r="CO12" i="2911"/>
  <c r="V12" i="2911"/>
  <c r="IV5" i="2911"/>
  <c r="FR5" i="2911"/>
  <c r="HE5" i="2911"/>
  <c r="BZ5" i="2911"/>
  <c r="IV13" i="2911"/>
  <c r="FE13" i="2911"/>
  <c r="DH13" i="2911"/>
  <c r="K13" i="2911"/>
  <c r="IP15" i="2911"/>
  <c r="EQ15" i="2911"/>
  <c r="CV15" i="2911"/>
  <c r="BS15" i="2911"/>
  <c r="IU16" i="2911"/>
  <c r="EV16" i="2911"/>
  <c r="EU16" i="2911"/>
  <c r="R16" i="2911"/>
  <c r="IS6" i="2911"/>
  <c r="EL6" i="2911"/>
  <c r="FL6" i="2911"/>
  <c r="BN6" i="2911"/>
  <c r="IS14" i="2911"/>
  <c r="HE14" i="2911"/>
  <c r="GR14" i="2911"/>
  <c r="BO14" i="2911"/>
  <c r="IR9" i="2911"/>
  <c r="EK9" i="2911"/>
  <c r="BZ9" i="2911"/>
  <c r="CD9" i="2911"/>
  <c r="IR17" i="2911"/>
  <c r="EK17" i="2911"/>
  <c r="CH17" i="2911"/>
  <c r="BG17" i="2911"/>
  <c r="IO2" i="2911"/>
  <c r="HO2" i="2911"/>
  <c r="CM2" i="2911"/>
  <c r="CC2" i="2911"/>
  <c r="IO10" i="2911"/>
  <c r="GA10" i="2911"/>
  <c r="DJ10" i="2911"/>
  <c r="GL4" i="2911"/>
  <c r="CZ4" i="2911"/>
  <c r="BT4" i="2911"/>
  <c r="CT4" i="2911"/>
  <c r="GC7" i="2911"/>
  <c r="CY7" i="2911"/>
  <c r="CH7" i="2911"/>
  <c r="AA7" i="2911"/>
  <c r="GP8" i="2911"/>
  <c r="DD8" i="2911"/>
  <c r="AN8" i="2911"/>
  <c r="BG8" i="2911"/>
  <c r="GJ12" i="2911"/>
  <c r="DY12" i="2911"/>
  <c r="EN12" i="2911"/>
  <c r="CN12" i="2911"/>
  <c r="FP5" i="2911"/>
  <c r="CZ5" i="2911"/>
  <c r="AO5" i="2911"/>
  <c r="ES5" i="2911"/>
  <c r="GQ13" i="2911"/>
  <c r="GJ13" i="2911"/>
  <c r="AO13" i="2911"/>
  <c r="AL13" i="2911"/>
  <c r="GQ15" i="2911"/>
  <c r="FV15" i="2911"/>
  <c r="DH15" i="2911"/>
  <c r="EH15" i="2911"/>
  <c r="GM16" i="2911"/>
  <c r="EF16" i="2911"/>
  <c r="BO16" i="2911"/>
  <c r="AW16" i="2911"/>
  <c r="GI6" i="2911"/>
  <c r="CD6" i="2911"/>
  <c r="DG6" i="2911"/>
  <c r="BC6" i="2911"/>
  <c r="EW14" i="2911"/>
  <c r="DZ14" i="2911"/>
  <c r="BJ14" i="2911"/>
  <c r="F14" i="2911"/>
  <c r="GP9" i="2911"/>
  <c r="EH9" i="2911"/>
  <c r="BA9" i="2911"/>
  <c r="C9" i="2911"/>
  <c r="GI17" i="2911"/>
  <c r="DI17" i="2911"/>
  <c r="AS17" i="2911"/>
  <c r="S17" i="2911"/>
  <c r="GJ2" i="2911"/>
  <c r="DN2" i="2911"/>
  <c r="AX2" i="2911"/>
  <c r="HP4" i="2911"/>
  <c r="FQ4" i="2911"/>
  <c r="CY4" i="2911"/>
  <c r="F4" i="2911"/>
  <c r="HO7" i="2911"/>
  <c r="HA7" i="2911"/>
  <c r="DR7" i="2911"/>
  <c r="BJ7" i="2911"/>
  <c r="HT8" i="2911"/>
  <c r="FM8" i="2911"/>
  <c r="EC8" i="2911"/>
  <c r="DH8" i="2911"/>
  <c r="HP12" i="2911"/>
  <c r="FQ12" i="2911"/>
  <c r="DS12" i="2911"/>
  <c r="BK12" i="2911"/>
  <c r="HU5" i="2911"/>
  <c r="EX5" i="2911"/>
  <c r="FQ5" i="2911"/>
  <c r="DR5" i="2911"/>
  <c r="HU13" i="2911"/>
  <c r="FV13" i="2911"/>
  <c r="HL13" i="2911"/>
  <c r="P13" i="2911"/>
  <c r="HO15" i="2911"/>
  <c r="HQ15" i="2911"/>
  <c r="EG15" i="2911"/>
  <c r="HC15" i="2911"/>
  <c r="HT16" i="2911"/>
  <c r="GF16" i="2911"/>
  <c r="EE16" i="2911"/>
  <c r="AE16" i="2911"/>
  <c r="HR6" i="2911"/>
  <c r="GS6" i="2911"/>
  <c r="CJ6" i="2911"/>
  <c r="EJ6" i="2911"/>
  <c r="HR14" i="2911"/>
  <c r="GA14" i="2911"/>
  <c r="EN14" i="2911"/>
  <c r="DC14" i="2911"/>
  <c r="HQ9" i="2911"/>
  <c r="GK9" i="2911"/>
  <c r="HP9" i="2911"/>
  <c r="CJ9" i="2911"/>
  <c r="HQ17" i="2911"/>
  <c r="FZ17" i="2911"/>
  <c r="CI17" i="2911"/>
  <c r="EP17" i="2911"/>
  <c r="HN2" i="2911"/>
  <c r="GK2" i="2911"/>
  <c r="DO2" i="2911"/>
  <c r="CD2" i="2911"/>
  <c r="HN10" i="2911"/>
  <c r="FG10" i="2911"/>
  <c r="HX10" i="2911"/>
  <c r="HY4" i="2911"/>
  <c r="ED4" i="2911"/>
  <c r="Y4" i="2911"/>
  <c r="HZ4" i="2911"/>
  <c r="ET7" i="2911"/>
  <c r="CI7" i="2911"/>
  <c r="P7" i="2911"/>
  <c r="AE7" i="2911"/>
  <c r="GN8" i="2911"/>
  <c r="EX8" i="2911"/>
  <c r="M8" i="2911"/>
  <c r="BB8" i="2911"/>
  <c r="FX12" i="2911"/>
  <c r="GP12" i="2911"/>
  <c r="Y12" i="2911"/>
  <c r="AC12" i="2911"/>
  <c r="FE5" i="2911"/>
  <c r="FC5" i="2911"/>
  <c r="AR5" i="2911"/>
  <c r="G5" i="2911"/>
  <c r="ER13" i="2911"/>
  <c r="BY13" i="2911"/>
  <c r="DN13" i="2911"/>
  <c r="BF13" i="2911"/>
  <c r="IN15" i="2911"/>
  <c r="HV15" i="2911"/>
  <c r="H15" i="2911"/>
  <c r="S15" i="2911"/>
  <c r="HH16" i="2911"/>
  <c r="BX16" i="2911"/>
  <c r="E16" i="2911"/>
  <c r="BM16" i="2911"/>
  <c r="GT6" i="2911"/>
  <c r="DV6" i="2911"/>
  <c r="K6" i="2911"/>
  <c r="BK6" i="2911"/>
  <c r="FR14" i="2911"/>
  <c r="DS14" i="2911"/>
  <c r="S14" i="2911"/>
  <c r="W14" i="2911"/>
  <c r="EN9" i="2911"/>
  <c r="BU9" i="2911"/>
  <c r="BJ9" i="2911"/>
  <c r="A9" i="2911"/>
  <c r="HD17" i="2911"/>
  <c r="HO17" i="2911"/>
  <c r="CE17" i="2911"/>
  <c r="BV17" i="2911"/>
  <c r="GO2" i="2911"/>
  <c r="CP2" i="2911"/>
  <c r="AV2" i="2911"/>
  <c r="IB4" i="2911"/>
  <c r="FB4" i="2911"/>
  <c r="DC4" i="2911"/>
  <c r="K4" i="2911"/>
  <c r="IA7" i="2911"/>
  <c r="ER7" i="2911"/>
  <c r="CW7" i="2911"/>
  <c r="DM7" i="2911"/>
  <c r="IF8" i="2911"/>
  <c r="FI8" i="2911"/>
  <c r="FF8" i="2911"/>
  <c r="DU8" i="2911"/>
  <c r="IB12" i="2911"/>
  <c r="DZ12" i="2911"/>
  <c r="CP12" i="2911"/>
  <c r="BW12" i="2911"/>
  <c r="HY5" i="2911"/>
  <c r="DW5" i="2911"/>
  <c r="CE5" i="2911"/>
  <c r="AS5" i="2911"/>
  <c r="HY13" i="2911"/>
  <c r="FL13" i="2911"/>
  <c r="BW13" i="2911"/>
  <c r="L13" i="2911"/>
  <c r="IA15" i="2911"/>
  <c r="FU15" i="2911"/>
  <c r="CR15" i="2911"/>
  <c r="CD15" i="2911"/>
  <c r="IF16" i="2911"/>
  <c r="GY16" i="2911"/>
  <c r="BV16" i="2911"/>
  <c r="BQ16" i="2911"/>
  <c r="ID6" i="2911"/>
  <c r="FO6" i="2911"/>
  <c r="BL6" i="2911"/>
  <c r="EH6" i="2911"/>
  <c r="ID14" i="2911"/>
  <c r="FQ14" i="2911"/>
  <c r="CR14" i="2911"/>
  <c r="M14" i="2911"/>
  <c r="IC9" i="2911"/>
  <c r="IE9" i="2911"/>
  <c r="CI9" i="2911"/>
  <c r="FW9" i="2911"/>
  <c r="IC17" i="2911"/>
  <c r="GC17" i="2911"/>
  <c r="DR17" i="2911"/>
  <c r="DB17" i="2911"/>
  <c r="HR2" i="2911"/>
  <c r="GF2" i="2911"/>
  <c r="DJ2" i="2911"/>
  <c r="Q2" i="2911"/>
  <c r="HR10" i="2911"/>
  <c r="FE10" i="2911"/>
  <c r="II4" i="2911"/>
  <c r="ER4" i="2911"/>
  <c r="HR4" i="2911"/>
  <c r="BE4" i="2911"/>
  <c r="IH7" i="2911"/>
  <c r="EQ7" i="2911"/>
  <c r="CN7" i="2911"/>
  <c r="AC7" i="2911"/>
  <c r="IM8" i="2911"/>
  <c r="EN8" i="2911"/>
  <c r="CK8" i="2911"/>
  <c r="AY8" i="2911"/>
  <c r="II12" i="2911"/>
  <c r="HK12" i="2911"/>
  <c r="CG12" i="2911"/>
  <c r="N12" i="2911"/>
  <c r="IN5" i="2911"/>
  <c r="HG5" i="2911"/>
  <c r="HB5" i="2911"/>
  <c r="AL5" i="2911"/>
  <c r="IN13" i="2911"/>
  <c r="EW13" i="2911"/>
  <c r="DF13" i="2911"/>
  <c r="C13" i="2911"/>
  <c r="IH15" i="2911"/>
  <c r="EI15" i="2911"/>
  <c r="CN15" i="2911"/>
  <c r="BC15" i="2911"/>
  <c r="IM16" i="2911"/>
  <c r="EN16" i="2911"/>
  <c r="DZ16" i="2911"/>
  <c r="J16" i="2911"/>
  <c r="IK6" i="2911"/>
  <c r="IN6" i="2911"/>
  <c r="EY6" i="2911"/>
  <c r="AU6" i="2911"/>
  <c r="IK14" i="2911"/>
  <c r="HD14" i="2911"/>
  <c r="DW14" i="2911"/>
  <c r="BM14" i="2911"/>
  <c r="IJ9" i="2911"/>
  <c r="IA9" i="2911"/>
  <c r="FP9" i="2911"/>
  <c r="AO9" i="2911"/>
  <c r="IJ17" i="2911"/>
  <c r="HR17" i="2911"/>
  <c r="BZ17" i="2911"/>
  <c r="AP17" i="2911"/>
  <c r="IG2" i="2911"/>
  <c r="GM2" i="2911"/>
  <c r="CE2" i="2911"/>
  <c r="CB2" i="2911"/>
  <c r="GD4" i="2911"/>
  <c r="GS4" i="2911"/>
  <c r="FN4" i="2911"/>
  <c r="ID4" i="2911"/>
  <c r="FT4" i="2911"/>
  <c r="HI7" i="2911"/>
  <c r="EP7" i="2911"/>
  <c r="DH7" i="2911"/>
  <c r="O7" i="2911"/>
  <c r="GR8" i="2911"/>
  <c r="FX8" i="2911"/>
  <c r="GQ8" i="2911"/>
  <c r="AQ8" i="2911"/>
  <c r="GC12" i="2911"/>
  <c r="DX12" i="2911"/>
  <c r="CL12" i="2911"/>
  <c r="AB12" i="2911"/>
  <c r="ID5" i="2911"/>
  <c r="DU5" i="2911"/>
  <c r="CY5" i="2911"/>
  <c r="AH5" i="2911"/>
  <c r="GS13" i="2911"/>
  <c r="FI13" i="2911"/>
  <c r="EF13" i="2911"/>
  <c r="AK13" i="2911"/>
  <c r="HN15" i="2911"/>
  <c r="FA15" i="2911"/>
  <c r="EA15" i="2911"/>
  <c r="W15" i="2911"/>
  <c r="GO16" i="2911"/>
  <c r="EH16" i="2911"/>
  <c r="CE16" i="2911"/>
  <c r="T16" i="2911"/>
  <c r="GV6" i="2911"/>
  <c r="DZ6" i="2911"/>
  <c r="DN6" i="2911"/>
  <c r="AQ6" i="2911"/>
  <c r="IQ14" i="2911"/>
  <c r="FH14" i="2911"/>
  <c r="DX14" i="2911"/>
  <c r="AQ14" i="2911"/>
  <c r="IN9" i="2911"/>
  <c r="EX9" i="2911"/>
  <c r="FM9" i="2911"/>
  <c r="EZ9" i="2911"/>
  <c r="IM17" i="2911"/>
  <c r="EZ17" i="2911"/>
  <c r="DV17" i="2911"/>
  <c r="CO17" i="2911"/>
  <c r="GT2" i="2911"/>
  <c r="DU2" i="2911"/>
  <c r="BM2" i="2911"/>
  <c r="N2" i="2911"/>
  <c r="IV10" i="2911"/>
  <c r="GP10" i="2911"/>
  <c r="HO4" i="2911"/>
  <c r="FM4" i="2911"/>
  <c r="GC4" i="2911"/>
  <c r="AX4" i="2911"/>
  <c r="HE7" i="2911"/>
  <c r="EX7" i="2911"/>
  <c r="BQ7" i="2911"/>
  <c r="F7" i="2911"/>
  <c r="HV8" i="2911"/>
  <c r="FR8" i="2911"/>
  <c r="BF8" i="2911"/>
  <c r="CA8" i="2911"/>
  <c r="HF12" i="2911"/>
  <c r="EH12" i="2911"/>
  <c r="BJ12" i="2911"/>
  <c r="CM12" i="2911"/>
  <c r="HK5" i="2911"/>
  <c r="ET5" i="2911"/>
  <c r="AY5" i="2911"/>
  <c r="BI5" i="2911"/>
  <c r="IL13" i="2911"/>
  <c r="HB13" i="2911"/>
  <c r="BG13" i="2911"/>
  <c r="O13" i="2911"/>
  <c r="HE15" i="2911"/>
  <c r="FF15" i="2911"/>
  <c r="DX15" i="2911"/>
  <c r="AJ15" i="2911"/>
  <c r="IH16" i="2911"/>
  <c r="GC16" i="2911"/>
  <c r="EC16" i="2911"/>
  <c r="FI16" i="2911"/>
  <c r="HS6" i="2911"/>
  <c r="EZ6" i="2911"/>
  <c r="DP6" i="2911"/>
  <c r="I6" i="2911"/>
  <c r="GU14" i="2911"/>
  <c r="GY14" i="2911"/>
  <c r="BR14" i="2911"/>
  <c r="I14" i="2911"/>
  <c r="HG9" i="2911"/>
  <c r="FG9" i="2911"/>
  <c r="FX9" i="2911"/>
  <c r="H9" i="2911"/>
  <c r="HX17" i="2911"/>
  <c r="HW17" i="2911"/>
  <c r="DL17" i="2911"/>
  <c r="BL17" i="2911"/>
  <c r="IJ2" i="2911"/>
  <c r="FX2" i="2911"/>
  <c r="DI2" i="2911"/>
  <c r="IK4" i="2911"/>
  <c r="FA4" i="2911"/>
  <c r="CH4" i="2911"/>
  <c r="DL4" i="2911"/>
  <c r="IJ7" i="2911"/>
  <c r="GU7" i="2911"/>
  <c r="FN7" i="2911"/>
  <c r="AM7" i="2911"/>
  <c r="IO8" i="2911"/>
  <c r="EW8" i="2911"/>
  <c r="DM8" i="2911"/>
  <c r="AO8" i="2911"/>
  <c r="IK12" i="2911"/>
  <c r="FA12" i="2911"/>
  <c r="EQ12" i="2911"/>
  <c r="AX12" i="2911"/>
  <c r="IP5" i="2911"/>
  <c r="EH5" i="2911"/>
  <c r="DQ5" i="2911"/>
  <c r="CV5" i="2911"/>
  <c r="IP13" i="2911"/>
  <c r="FF13" i="2911"/>
  <c r="FZ4" i="2911"/>
  <c r="FI7" i="2911"/>
  <c r="HD8" i="2911"/>
  <c r="HB12" i="2911"/>
  <c r="HT5" i="2911"/>
  <c r="DD13" i="2911"/>
  <c r="GN15" i="2911"/>
  <c r="DK16" i="2911"/>
  <c r="FV6" i="2911"/>
  <c r="DQ14" i="2911"/>
  <c r="DH9" i="2911"/>
  <c r="DP17" i="2911"/>
  <c r="DH2" i="2911"/>
  <c r="DE10" i="2911"/>
  <c r="GU4" i="2911"/>
  <c r="CT7" i="2911"/>
  <c r="CG8" i="2911"/>
  <c r="BN12" i="2911"/>
  <c r="AJ5" i="2911"/>
  <c r="D13" i="2911"/>
  <c r="BV15" i="2911"/>
  <c r="BB16" i="2911"/>
  <c r="CX6" i="2911"/>
  <c r="CU14" i="2911"/>
  <c r="EO9" i="2911"/>
  <c r="CY17" i="2911"/>
  <c r="BR2" i="2911"/>
  <c r="FO4" i="2911"/>
  <c r="BP4" i="2911"/>
  <c r="HZ7" i="2911"/>
  <c r="EG7" i="2911"/>
  <c r="BV7" i="2911"/>
  <c r="IE8" i="2911"/>
  <c r="GM8" i="2911"/>
  <c r="CU8" i="2911"/>
  <c r="IA12" i="2911"/>
  <c r="EO12" i="2911"/>
  <c r="CI12" i="2911"/>
  <c r="IF5" i="2911"/>
  <c r="FK5" i="2911"/>
  <c r="CN5" i="2911"/>
  <c r="IF13" i="2911"/>
  <c r="GB13" i="2911"/>
  <c r="AV13" i="2911"/>
  <c r="DI13" i="2911"/>
  <c r="IO15" i="2911"/>
  <c r="EV15" i="2911"/>
  <c r="DS15" i="2911"/>
  <c r="BZ15" i="2911"/>
  <c r="GR16" i="2911"/>
  <c r="FX16" i="2911"/>
  <c r="FZ16" i="2911"/>
  <c r="AS16" i="2911"/>
  <c r="HA6" i="2911"/>
  <c r="FG6" i="2911"/>
  <c r="AK6" i="2911"/>
  <c r="AB6" i="2911"/>
  <c r="II14" i="2911"/>
  <c r="DA14" i="2911"/>
  <c r="BI14" i="2911"/>
  <c r="AO14" i="2911"/>
  <c r="HE9" i="2911"/>
  <c r="GS9" i="2911"/>
  <c r="AJ9" i="2911"/>
  <c r="Y9" i="2911"/>
  <c r="IE17" i="2911"/>
  <c r="CZ17" i="2911"/>
  <c r="DE17" i="2911"/>
  <c r="Q17" i="2911"/>
  <c r="HU2" i="2911"/>
  <c r="IE2" i="2911"/>
  <c r="DC2" i="2911"/>
  <c r="S2" i="2911"/>
  <c r="IR10" i="2911"/>
  <c r="FU10" i="2911"/>
  <c r="IM4" i="2911"/>
  <c r="IO4" i="2911"/>
  <c r="BB4" i="2911"/>
  <c r="O4" i="2911"/>
  <c r="ID7" i="2911"/>
  <c r="GA7" i="2911"/>
  <c r="DJ7" i="2911"/>
  <c r="AD7" i="2911"/>
  <c r="II8" i="2911"/>
  <c r="DF8" i="2911"/>
  <c r="CB8" i="2911"/>
  <c r="K8" i="2911"/>
  <c r="IG12" i="2911"/>
  <c r="FL12" i="2911"/>
  <c r="DK12" i="2911"/>
  <c r="W12" i="2911"/>
  <c r="HO5" i="2911"/>
  <c r="FS5" i="2911"/>
  <c r="BR5" i="2911"/>
  <c r="EY5" i="2911"/>
  <c r="GU13" i="2911"/>
  <c r="DO13" i="2911"/>
  <c r="CC13" i="2911"/>
  <c r="BA13" i="2911"/>
  <c r="HM15" i="2911"/>
  <c r="DI15" i="2911"/>
  <c r="AS15" i="2911"/>
  <c r="N15" i="2911"/>
  <c r="HB16" i="2911"/>
  <c r="IK16" i="2911"/>
  <c r="AP16" i="2911"/>
  <c r="S16" i="2911"/>
  <c r="IQ6" i="2911"/>
  <c r="DL6" i="2911"/>
  <c r="FQ6" i="2911"/>
  <c r="AG6" i="2911"/>
  <c r="HQ14" i="2911"/>
  <c r="DL14" i="2911"/>
  <c r="EI14" i="2911"/>
  <c r="AG14" i="2911"/>
  <c r="IH9" i="2911"/>
  <c r="DC9" i="2911"/>
  <c r="AU9" i="2911"/>
  <c r="AF9" i="2911"/>
  <c r="IV17" i="2911"/>
  <c r="DS17" i="2911"/>
  <c r="BC17" i="2911"/>
  <c r="H17" i="2911"/>
  <c r="HG2" i="2911"/>
  <c r="EI2" i="2911"/>
  <c r="EV2" i="2911"/>
  <c r="AM2" i="2911"/>
  <c r="AL4" i="2911"/>
  <c r="CD7" i="2911"/>
  <c r="BN8" i="2911"/>
  <c r="BS12" i="2911"/>
  <c r="BG5" i="2911"/>
  <c r="BO13" i="2911"/>
  <c r="FN15" i="2911"/>
  <c r="FA16" i="2911"/>
  <c r="EF6" i="2911"/>
  <c r="CE14" i="2911"/>
  <c r="GI9" i="2911"/>
  <c r="AM17" i="2911"/>
  <c r="DT2" i="2911"/>
  <c r="IS4" i="2911"/>
  <c r="IR7" i="2911"/>
  <c r="HL8" i="2911"/>
  <c r="IS12" i="2911"/>
  <c r="HM5" i="2911"/>
  <c r="HM13" i="2911"/>
  <c r="IR15" i="2911"/>
  <c r="HL16" i="2911"/>
  <c r="IU6" i="2911"/>
  <c r="IU14" i="2911"/>
  <c r="IT9" i="2911"/>
  <c r="IT17" i="2911"/>
  <c r="IQ2" i="2911"/>
  <c r="IA4" i="2911"/>
  <c r="FJ4" i="2911"/>
  <c r="Q4" i="2911"/>
  <c r="GW7" i="2911"/>
  <c r="HC7" i="2911"/>
  <c r="H7" i="2911"/>
  <c r="HS8" i="2911"/>
  <c r="FH8" i="2911"/>
  <c r="E8" i="2911"/>
  <c r="GX12" i="2911"/>
  <c r="DH12" i="2911"/>
  <c r="Q12" i="2911"/>
  <c r="HC5" i="2911"/>
  <c r="DE5" i="2911"/>
  <c r="AP5" i="2911"/>
  <c r="II13" i="2911"/>
  <c r="EN13" i="2911"/>
  <c r="CK13" i="2911"/>
  <c r="E13" i="2911"/>
  <c r="HA15" i="2911"/>
  <c r="DW15" i="2911"/>
  <c r="CC15" i="2911"/>
  <c r="CB15" i="2911"/>
  <c r="HV16" i="2911"/>
  <c r="DT16" i="2911"/>
  <c r="BL16" i="2911"/>
  <c r="BJ16" i="2911"/>
  <c r="GE6" i="2911"/>
  <c r="DJ6" i="2911"/>
  <c r="CN6" i="2911"/>
  <c r="O6" i="2911"/>
  <c r="GN14" i="2911"/>
  <c r="IB14" i="2911"/>
  <c r="EX14" i="2911"/>
  <c r="T14" i="2911"/>
  <c r="IU9" i="2911"/>
  <c r="DQ9" i="2911"/>
  <c r="DF9" i="2911"/>
  <c r="CW9" i="2911"/>
  <c r="GW17" i="2911"/>
  <c r="GR17" i="2911"/>
  <c r="CV17" i="2911"/>
  <c r="AC17" i="2911"/>
  <c r="GD2" i="2911"/>
  <c r="DE2" i="2911"/>
  <c r="AW2" i="2911"/>
  <c r="AH2" i="2911"/>
  <c r="HI10" i="2911"/>
  <c r="FK10" i="2911"/>
  <c r="IL4" i="2911"/>
  <c r="GV4" i="2911"/>
  <c r="BO4" i="2911"/>
  <c r="CM4" i="2911"/>
  <c r="HX7" i="2911"/>
  <c r="FV7" i="2911"/>
  <c r="CK7" i="2911"/>
  <c r="T7" i="2911"/>
  <c r="HJ8" i="2911"/>
  <c r="DC8" i="2911"/>
  <c r="CM8" i="2911"/>
  <c r="P8" i="2911"/>
  <c r="GU12" i="2911"/>
  <c r="CY12" i="2911"/>
  <c r="CE12" i="2911"/>
  <c r="BA12" i="2911"/>
  <c r="IQ5" i="2911"/>
  <c r="DL5" i="2911"/>
  <c r="CQ5" i="2911"/>
  <c r="L5" i="2911"/>
  <c r="HS13" i="2911"/>
  <c r="DT13" i="2911"/>
  <c r="CR13" i="2911"/>
  <c r="AH13" i="2911"/>
  <c r="HP15" i="2911"/>
  <c r="DF15" i="2911"/>
  <c r="AX15" i="2911"/>
  <c r="AB15" i="2911"/>
  <c r="GU16" i="2911"/>
  <c r="EA16" i="2911"/>
  <c r="BK16" i="2911"/>
  <c r="CB16" i="2911"/>
  <c r="IB6" i="2911"/>
  <c r="DA6" i="2911"/>
  <c r="BQ6" i="2911"/>
  <c r="AY4" i="2911"/>
  <c r="BZ7" i="2911"/>
  <c r="BC8" i="2911"/>
  <c r="CA12" i="2911"/>
  <c r="CF5" i="2911"/>
  <c r="BL13" i="2911"/>
  <c r="GV15" i="2911"/>
  <c r="AU16" i="2911"/>
  <c r="BA6" i="2911"/>
  <c r="BU14" i="2911"/>
  <c r="AZ9" i="2911"/>
  <c r="FU17" i="2911"/>
  <c r="AJ2" i="2911"/>
  <c r="HT4" i="2911"/>
  <c r="HS7" i="2911"/>
  <c r="HX8" i="2911"/>
  <c r="HT12" i="2911"/>
  <c r="HQ5" i="2911"/>
  <c r="HQ13" i="2911"/>
  <c r="HS15" i="2911"/>
  <c r="HX16" i="2911"/>
  <c r="HV6" i="2911"/>
  <c r="HV14" i="2911"/>
  <c r="HU9" i="2911"/>
  <c r="HU17" i="2911"/>
  <c r="IV2" i="2911"/>
  <c r="HF4" i="2911"/>
  <c r="EW4" i="2911"/>
  <c r="BC4" i="2911"/>
  <c r="HK7" i="2911"/>
  <c r="GH7" i="2911"/>
  <c r="U7" i="2911"/>
  <c r="GU8" i="2911"/>
  <c r="HH8" i="2911"/>
  <c r="AS8" i="2911"/>
  <c r="HO12" i="2911"/>
  <c r="DN12" i="2911"/>
  <c r="F12" i="2911"/>
  <c r="GK5" i="2911"/>
  <c r="CW5" i="2911"/>
  <c r="AI5" i="2911"/>
  <c r="HT13" i="2911"/>
  <c r="FK13" i="2911"/>
  <c r="CQ13" i="2911"/>
  <c r="ED13" i="2911"/>
  <c r="FZ15" i="2911"/>
  <c r="FS15" i="2911"/>
  <c r="DE15" i="2911"/>
  <c r="BH15" i="2911"/>
  <c r="FW16" i="2911"/>
  <c r="DW16" i="2911"/>
  <c r="BI16" i="2911"/>
  <c r="L16" i="2911"/>
  <c r="FU6" i="2911"/>
  <c r="BV6" i="2911"/>
  <c r="CO6" i="2911"/>
  <c r="AM6" i="2911"/>
  <c r="EO14" i="2911"/>
  <c r="DR14" i="2911"/>
  <c r="BB14" i="2911"/>
  <c r="E14" i="2911"/>
  <c r="GN9" i="2911"/>
  <c r="DV9" i="2911"/>
  <c r="AS9" i="2911"/>
  <c r="BM9" i="2911"/>
  <c r="GB17" i="2911"/>
  <c r="DA17" i="2911"/>
  <c r="AK17" i="2911"/>
  <c r="M17" i="2911"/>
  <c r="IU2" i="2911"/>
  <c r="DF2" i="2911"/>
  <c r="AP2" i="2911"/>
  <c r="BJ2" i="2911"/>
  <c r="FA10" i="2911"/>
  <c r="GN10" i="2911"/>
  <c r="HN4" i="2911"/>
  <c r="IT4" i="2911"/>
  <c r="CQ4" i="2911"/>
  <c r="BF4" i="2911"/>
  <c r="IC7" i="2911"/>
  <c r="DF7" i="2911"/>
  <c r="EM7" i="2911"/>
  <c r="BB7" i="2911"/>
  <c r="HG8" i="2911"/>
  <c r="EL8" i="2911"/>
  <c r="CO8" i="2911"/>
  <c r="F8" i="2911"/>
  <c r="GS12" i="2911"/>
  <c r="FE12" i="2911"/>
  <c r="GE12" i="2911"/>
  <c r="AH12" i="2911"/>
  <c r="GH5" i="2911"/>
  <c r="EU5" i="2911"/>
  <c r="FL5" i="2911"/>
  <c r="DC5" i="2911"/>
  <c r="GY13" i="2911"/>
  <c r="ES13" i="2911"/>
  <c r="GG13" i="2911"/>
  <c r="DB13" i="2911"/>
  <c r="IT15" i="2911"/>
  <c r="FL15" i="2911"/>
  <c r="CH15" i="2911"/>
  <c r="I15" i="2911"/>
  <c r="HF16" i="2911"/>
  <c r="GL16" i="2911"/>
  <c r="ER16" i="2911"/>
  <c r="A16" i="2911"/>
  <c r="HX6" i="2911"/>
  <c r="ES6" i="2911"/>
  <c r="FT6" i="2911"/>
  <c r="N6" i="2911"/>
  <c r="GE14" i="2911"/>
  <c r="GI14" i="2911"/>
  <c r="FA14" i="2911"/>
  <c r="CC14" i="2911"/>
  <c r="GL9" i="2911"/>
  <c r="GA9" i="2911"/>
  <c r="CX9" i="2911"/>
  <c r="AV9" i="2911"/>
  <c r="GD17" i="2911"/>
  <c r="FM17" i="2911"/>
  <c r="IQ17" i="2911"/>
  <c r="AT17" i="2911"/>
  <c r="HW2" i="2911"/>
  <c r="EM2" i="2911"/>
  <c r="BU2" i="2911"/>
  <c r="A2" i="2911"/>
  <c r="BI4" i="2911"/>
  <c r="N7" i="2911"/>
  <c r="EU8" i="2911"/>
  <c r="G12" i="2911"/>
  <c r="BK5" i="2911"/>
  <c r="W13" i="2911"/>
  <c r="CU15" i="2911"/>
  <c r="C16" i="2911"/>
  <c r="Q6" i="2911"/>
  <c r="Q14" i="2911"/>
  <c r="P9" i="2911"/>
  <c r="BW17" i="2911"/>
  <c r="U2" i="2911"/>
  <c r="FI4" i="2911"/>
  <c r="GY7" i="2911"/>
  <c r="FE8" i="2911"/>
  <c r="FI12" i="2911"/>
  <c r="EP5" i="2911"/>
  <c r="FN13" i="2911"/>
  <c r="GH15" i="2911"/>
  <c r="GD16" i="2911"/>
  <c r="GQ6" i="2911"/>
  <c r="FS14" i="2911"/>
  <c r="FZ9" i="2911"/>
  <c r="FR17" i="2911"/>
  <c r="GG2" i="2911"/>
  <c r="GZ4" i="2911"/>
  <c r="DM4" i="2911"/>
  <c r="AS4" i="2911"/>
  <c r="GR7" i="2911"/>
  <c r="CA7" i="2911"/>
  <c r="EC7" i="2911"/>
  <c r="GO8" i="2911"/>
  <c r="ES8" i="2911"/>
  <c r="BO8" i="2911"/>
  <c r="IL12" i="2911"/>
  <c r="FV12" i="2911"/>
  <c r="BE12" i="2911"/>
  <c r="HL5" i="2911"/>
  <c r="EQ5" i="2911"/>
  <c r="AZ5" i="2911"/>
  <c r="GC13" i="2911"/>
  <c r="GT13" i="2911"/>
  <c r="BK13" i="2911"/>
  <c r="J13" i="2911"/>
  <c r="HK15" i="2911"/>
  <c r="FM15" i="2911"/>
  <c r="FK15" i="2911"/>
  <c r="GA15" i="2911"/>
  <c r="HG16" i="2911"/>
  <c r="EZ16" i="2911"/>
  <c r="GX16" i="2911"/>
  <c r="AG16" i="2911"/>
  <c r="GR6" i="2911"/>
  <c r="DC6" i="2911"/>
  <c r="C6" i="2911"/>
  <c r="AD6" i="2911"/>
  <c r="FJ14" i="2911"/>
  <c r="DH14" i="2911"/>
  <c r="K14" i="2911"/>
  <c r="AY14" i="2911"/>
  <c r="HW9" i="2911"/>
  <c r="FK9" i="2911"/>
  <c r="AY9" i="2911"/>
  <c r="M9" i="2911"/>
  <c r="GK17" i="2911"/>
  <c r="FG17" i="2911"/>
  <c r="BE17" i="2911"/>
  <c r="BN17" i="2911"/>
  <c r="FY2" i="2911"/>
  <c r="CH2" i="2911"/>
  <c r="AT2" i="2911"/>
  <c r="CK2" i="2911"/>
  <c r="FF10" i="2911"/>
  <c r="HB10" i="2911"/>
  <c r="HH4" i="2911"/>
  <c r="DX4" i="2911"/>
  <c r="CE4" i="2911"/>
  <c r="AW4" i="2911"/>
  <c r="HD7" i="2911"/>
  <c r="DW7" i="2911"/>
  <c r="AY7" i="2911"/>
  <c r="AI7" i="2911"/>
  <c r="HM8" i="2911"/>
  <c r="EB8" i="2911"/>
  <c r="BL8" i="2911"/>
  <c r="L8" i="2911"/>
  <c r="GL12" i="2911"/>
  <c r="EG12" i="2911"/>
  <c r="AZ12" i="2911"/>
  <c r="EV12" i="2911"/>
  <c r="GG5" i="2911"/>
  <c r="ED5" i="2911"/>
  <c r="BM5" i="2911"/>
  <c r="BH5" i="2911"/>
  <c r="IE13" i="2911"/>
  <c r="DM13" i="2911"/>
  <c r="BM13" i="2911"/>
  <c r="B13" i="2911"/>
  <c r="GC15" i="2911"/>
  <c r="GP15" i="2911"/>
  <c r="AY15" i="2911"/>
  <c r="D15" i="2911"/>
  <c r="GH16" i="2911"/>
  <c r="IL16" i="2911"/>
  <c r="FV16" i="2911"/>
  <c r="CX16" i="2911"/>
  <c r="GN6" i="2911"/>
  <c r="DM6" i="2911"/>
  <c r="AT6" i="2911"/>
  <c r="BF6" i="2911"/>
  <c r="FU14" i="2911"/>
  <c r="FV14" i="2911"/>
  <c r="BD4" i="2911"/>
  <c r="GO7" i="2911"/>
  <c r="BP8" i="2911"/>
  <c r="BC12" i="2911"/>
  <c r="CK5" i="2911"/>
  <c r="R13" i="2911"/>
  <c r="A15" i="2911"/>
  <c r="V16" i="2911"/>
  <c r="DH6" i="2911"/>
  <c r="FI14" i="2911"/>
  <c r="AW9" i="2911"/>
  <c r="AG17" i="2911"/>
  <c r="AI2" i="2911"/>
  <c r="EQ4" i="2911"/>
  <c r="EJ7" i="2911"/>
  <c r="EZ8" i="2911"/>
  <c r="DR12" i="2911"/>
  <c r="DO5" i="2911"/>
  <c r="FJ13" i="2911"/>
  <c r="FD15" i="2911"/>
  <c r="FF16" i="2911"/>
  <c r="EV6" i="2911"/>
  <c r="FN14" i="2911"/>
  <c r="EP9" i="2911"/>
  <c r="FH17" i="2911"/>
  <c r="FW2" i="2911"/>
  <c r="IP4" i="2911"/>
  <c r="GB4" i="2911"/>
  <c r="AF4" i="2911"/>
  <c r="HU7" i="2911"/>
  <c r="CF7" i="2911"/>
  <c r="AZ7" i="2911"/>
  <c r="GH8" i="2911"/>
  <c r="CC8" i="2911"/>
  <c r="BS8" i="2911"/>
  <c r="GA12" i="2911"/>
  <c r="BY12" i="2911"/>
  <c r="X12" i="2911"/>
  <c r="FH5" i="2911"/>
  <c r="FD5" i="2911"/>
  <c r="AM5" i="2911"/>
  <c r="GI13" i="2911"/>
  <c r="CT13" i="2911"/>
  <c r="DZ13" i="2911"/>
  <c r="HZ15" i="2911"/>
  <c r="IG15" i="2911"/>
  <c r="CF15" i="2911"/>
  <c r="AT15" i="2911"/>
  <c r="IE16" i="2911"/>
  <c r="GV16" i="2911"/>
  <c r="DX16" i="2911"/>
  <c r="B16" i="2911"/>
  <c r="IC6" i="2911"/>
  <c r="GC6" i="2911"/>
  <c r="GO6" i="2911"/>
  <c r="AJ6" i="2911"/>
  <c r="IC14" i="2911"/>
  <c r="GG14" i="2911"/>
  <c r="DU14" i="2911"/>
  <c r="AI14" i="2911"/>
  <c r="IB9" i="2911"/>
  <c r="GJ9" i="2911"/>
  <c r="FF9" i="2911"/>
  <c r="AE9" i="2911"/>
  <c r="IB17" i="2911"/>
  <c r="HC17" i="2911"/>
  <c r="FW17" i="2911"/>
  <c r="AN17" i="2911"/>
  <c r="HY2" i="2911"/>
  <c r="FV2" i="2911"/>
  <c r="BW2" i="2911"/>
  <c r="BI2" i="2911"/>
  <c r="HY10" i="2911"/>
  <c r="IB10" i="2911"/>
  <c r="CU10" i="2911"/>
  <c r="FC4" i="2911"/>
  <c r="CJ4" i="2911"/>
  <c r="AJ4" i="2911"/>
  <c r="AB4" i="2911"/>
  <c r="FR7" i="2911"/>
  <c r="DX7" i="2911"/>
  <c r="AJ7" i="2911"/>
  <c r="AG7" i="2911"/>
  <c r="EY8" i="2911"/>
  <c r="CN8" i="2911"/>
  <c r="AW8" i="2911"/>
  <c r="Q8" i="2911"/>
  <c r="EU12" i="2911"/>
  <c r="CB12" i="2911"/>
  <c r="AM12" i="2911"/>
  <c r="FW12" i="2911"/>
  <c r="IL5" i="2911"/>
  <c r="GW5" i="2911"/>
  <c r="BX5" i="2911"/>
  <c r="O5" i="2911"/>
  <c r="FP13" i="2911"/>
  <c r="CW13" i="2911"/>
  <c r="V13" i="2911"/>
  <c r="A13" i="2911"/>
  <c r="ET15" i="2911"/>
  <c r="CQ15" i="2911"/>
  <c r="AF15" i="2911"/>
  <c r="K15" i="2911"/>
  <c r="EQ16" i="2911"/>
  <c r="CV16" i="2911"/>
  <c r="AC16" i="2911"/>
  <c r="X16" i="2911"/>
  <c r="EO6" i="2911"/>
  <c r="GB6" i="2911"/>
  <c r="AI6" i="2911"/>
  <c r="HD4" i="2911"/>
  <c r="HF7" i="2911"/>
  <c r="HK8" i="2911"/>
  <c r="GF12" i="2911"/>
  <c r="HN5" i="2911"/>
  <c r="HD13" i="2911"/>
  <c r="GM15" i="2911"/>
  <c r="II16" i="2911"/>
  <c r="HL6" i="2911"/>
  <c r="GH14" i="2911"/>
  <c r="GG9" i="2911"/>
  <c r="GO17" i="2911"/>
  <c r="IK2" i="2911"/>
  <c r="GD10" i="2911"/>
  <c r="DA4" i="2911"/>
  <c r="CO7" i="2911"/>
  <c r="EF8" i="2911"/>
  <c r="CH12" i="2911"/>
  <c r="BW5" i="2911"/>
  <c r="HA13" i="2911"/>
  <c r="CP15" i="2911"/>
  <c r="FJ16" i="2911"/>
  <c r="BD6" i="2911"/>
  <c r="CJ14" i="2911"/>
  <c r="CA9" i="2911"/>
  <c r="CN17" i="2911"/>
  <c r="CV2" i="2911"/>
  <c r="EJ4" i="2911"/>
  <c r="EA4" i="2911"/>
  <c r="BN4" i="2911"/>
  <c r="EI7" i="2911"/>
  <c r="BF7" i="2911"/>
  <c r="DD7" i="2911"/>
  <c r="IP8" i="2911"/>
  <c r="AM8" i="2911"/>
  <c r="BA8" i="2911"/>
  <c r="GQ12" i="2911"/>
  <c r="BG12" i="2911"/>
  <c r="Z12" i="2911"/>
  <c r="GO5" i="2911"/>
  <c r="BD5" i="2911"/>
  <c r="AC5" i="2911"/>
  <c r="EO13" i="2911"/>
  <c r="EG13" i="2911"/>
  <c r="DC13" i="2911"/>
  <c r="IS15" i="2911"/>
  <c r="EU15" i="2911"/>
  <c r="BU15" i="2911"/>
  <c r="BD15" i="2911"/>
  <c r="HP16" i="2911"/>
  <c r="ED16" i="2911"/>
  <c r="BW16" i="2911"/>
  <c r="AZ16" i="2911"/>
  <c r="HN6" i="2911"/>
  <c r="EK6" i="2911"/>
  <c r="AV6" i="2911"/>
  <c r="CM6" i="2911"/>
  <c r="HN14" i="2911"/>
  <c r="EJ14" i="2911"/>
  <c r="CB14" i="2911"/>
  <c r="BZ14" i="2911"/>
  <c r="HM9" i="2911"/>
  <c r="EG9" i="2911"/>
  <c r="BS9" i="2911"/>
  <c r="BG9" i="2911"/>
  <c r="HM17" i="2911"/>
  <c r="EQ17" i="2911"/>
  <c r="CL17" i="2911"/>
  <c r="BM17" i="2911"/>
  <c r="IN2" i="2911"/>
  <c r="FO2" i="2911"/>
  <c r="CN2" i="2911"/>
  <c r="CS2" i="2911"/>
  <c r="GY10" i="2911"/>
  <c r="ER10" i="2911"/>
  <c r="IF4" i="2911"/>
  <c r="HC4" i="2911"/>
  <c r="EO4" i="2911"/>
  <c r="V4" i="2911"/>
  <c r="IE7" i="2911"/>
  <c r="FT7" i="2911"/>
  <c r="EH7" i="2911"/>
  <c r="EW7" i="2911"/>
  <c r="IJ8" i="2911"/>
  <c r="GI8" i="2911"/>
  <c r="FS8" i="2911"/>
  <c r="J8" i="2911"/>
  <c r="IF12" i="2911"/>
  <c r="GR12" i="2911"/>
  <c r="ET12" i="2911"/>
  <c r="CK12" i="2911"/>
  <c r="IK5" i="2911"/>
  <c r="FN5" i="2911"/>
  <c r="DV5" i="2911"/>
  <c r="C5" i="2911"/>
  <c r="IK13" i="2911"/>
  <c r="IU13" i="2911"/>
  <c r="GE13" i="2911"/>
  <c r="AF13" i="2911"/>
  <c r="IE15" i="2911"/>
  <c r="GB15" i="2911"/>
  <c r="EX15" i="2911"/>
  <c r="M15" i="2911"/>
  <c r="IJ16" i="2911"/>
  <c r="FQ16" i="2911"/>
  <c r="FK16" i="2911"/>
  <c r="AL16" i="2911"/>
  <c r="IH6" i="2911"/>
  <c r="HD6" i="2911"/>
  <c r="DU6" i="2911"/>
  <c r="H6" i="2911"/>
  <c r="IH14" i="2911"/>
  <c r="GL14" i="2911"/>
  <c r="FG14" i="2911"/>
  <c r="H14" i="2911"/>
  <c r="HW4" i="2911"/>
  <c r="GX5" i="2911"/>
  <c r="IA6" i="2911"/>
  <c r="IR2" i="2911"/>
  <c r="GS8" i="2911"/>
  <c r="EC15" i="2911"/>
  <c r="FU9" i="2911"/>
  <c r="EI4" i="2911"/>
  <c r="B7" i="2911"/>
  <c r="FP12" i="2911"/>
  <c r="AQ5" i="2911"/>
  <c r="CH13" i="2911"/>
  <c r="AN15" i="2911"/>
  <c r="O16" i="2911"/>
  <c r="AY6" i="2911"/>
  <c r="CF14" i="2911"/>
  <c r="BD9" i="2911"/>
  <c r="CM17" i="2911"/>
  <c r="BG2" i="2911"/>
  <c r="FP4" i="2911"/>
  <c r="FO7" i="2911"/>
  <c r="FL8" i="2911"/>
  <c r="EJ12" i="2911"/>
  <c r="GR5" i="2911"/>
  <c r="FU13" i="2911"/>
  <c r="FG15" i="2911"/>
  <c r="FL16" i="2911"/>
  <c r="FB6" i="2911"/>
  <c r="Z6" i="2911"/>
  <c r="CD14" i="2911"/>
  <c r="BG14" i="2911"/>
  <c r="FA9" i="2911"/>
  <c r="DO9" i="2911"/>
  <c r="AD9" i="2911"/>
  <c r="FA17" i="2911"/>
  <c r="EC17" i="2911"/>
  <c r="AI17" i="2911"/>
  <c r="ES2" i="2911"/>
  <c r="EA2" i="2911"/>
  <c r="BQ2" i="2911"/>
  <c r="HM10" i="2911"/>
  <c r="DV10" i="2911"/>
  <c r="DZ10" i="2911"/>
  <c r="BO10" i="2911"/>
  <c r="GI18" i="2911"/>
  <c r="FJ18" i="2911"/>
  <c r="AP18" i="2911"/>
  <c r="BQ18" i="2911"/>
  <c r="GO3" i="2911"/>
  <c r="DQ3" i="2911"/>
  <c r="GT3" i="2911"/>
  <c r="M3" i="2911"/>
  <c r="EX4" i="2911"/>
  <c r="X4" i="2911"/>
  <c r="ED7" i="2911"/>
  <c r="CR7" i="2911"/>
  <c r="FC8" i="2911"/>
  <c r="AD8" i="2911"/>
  <c r="HR12" i="2911"/>
  <c r="P12" i="2911"/>
  <c r="GZ5" i="2911"/>
  <c r="AG5" i="2911"/>
  <c r="FT13" i="2911"/>
  <c r="BN13" i="2911"/>
  <c r="EM15" i="2911"/>
  <c r="BR15" i="2911"/>
  <c r="FP16" i="2911"/>
  <c r="CG16" i="2911"/>
  <c r="EN6" i="2911"/>
  <c r="T6" i="2911"/>
  <c r="HG14" i="2911"/>
  <c r="AJ14" i="2911"/>
  <c r="FN9" i="2911"/>
  <c r="Q9" i="2911"/>
  <c r="IU17" i="2911"/>
  <c r="BO17" i="2911"/>
  <c r="FH2" i="2911"/>
  <c r="GE2" i="2911"/>
  <c r="GZ10" i="2911"/>
  <c r="BM10" i="2911"/>
  <c r="BS10" i="2911"/>
  <c r="GB18" i="2911"/>
  <c r="EU18" i="2911"/>
  <c r="Q18" i="2911"/>
  <c r="IE3" i="2911"/>
  <c r="DR3" i="2911"/>
  <c r="EI3" i="2911"/>
  <c r="G3" i="2911"/>
  <c r="IB11" i="2911"/>
  <c r="DC11" i="2911"/>
  <c r="AM11" i="2911"/>
  <c r="G11" i="2911"/>
  <c r="HF19" i="2911"/>
  <c r="ES19" i="2911"/>
  <c r="FW4" i="2911"/>
  <c r="EV5" i="2911"/>
  <c r="GL6" i="2911"/>
  <c r="GB2" i="2911"/>
  <c r="CE8" i="2911"/>
  <c r="BE15" i="2911"/>
  <c r="BF9" i="2911"/>
  <c r="DY4" i="2911"/>
  <c r="S7" i="2911"/>
  <c r="EE12" i="2911"/>
  <c r="FI5" i="2911"/>
  <c r="FW13" i="2911"/>
  <c r="GU15" i="2911"/>
  <c r="EP16" i="2911"/>
  <c r="A6" i="2911"/>
  <c r="A14" i="2911"/>
  <c r="CG9" i="2911"/>
  <c r="AD17" i="2911"/>
  <c r="E2" i="2911"/>
  <c r="FF4" i="2911"/>
  <c r="FH7" i="2911"/>
  <c r="FV8" i="2911"/>
  <c r="GG12" i="2911"/>
  <c r="EM5" i="2911"/>
  <c r="GR13" i="2911"/>
  <c r="ER15" i="2911"/>
  <c r="EO16" i="2911"/>
  <c r="EU6" i="2911"/>
  <c r="IT14" i="2911"/>
  <c r="DN14" i="2911"/>
  <c r="AW14" i="2911"/>
  <c r="IQ9" i="2911"/>
  <c r="BP9" i="2911"/>
  <c r="CL9" i="2911"/>
  <c r="HS17" i="2911"/>
  <c r="AR17" i="2911"/>
  <c r="AA17" i="2911"/>
  <c r="EP2" i="2911"/>
  <c r="AZ2" i="2911"/>
  <c r="CQ2" i="2911"/>
  <c r="GH10" i="2911"/>
  <c r="DA10" i="2911"/>
  <c r="BN10" i="2911"/>
  <c r="AD10" i="2911"/>
  <c r="GK18" i="2911"/>
  <c r="EB18" i="2911"/>
  <c r="O18" i="2911"/>
  <c r="DJ18" i="2911"/>
  <c r="EX3" i="2911"/>
  <c r="GL3" i="2911"/>
  <c r="L3" i="2911"/>
  <c r="H3" i="2911"/>
  <c r="EP4" i="2911"/>
  <c r="AO4" i="2911"/>
  <c r="GD7" i="2911"/>
  <c r="CE7" i="2911"/>
  <c r="GF8" i="2911"/>
  <c r="AB8" i="2911"/>
  <c r="CX12" i="2911"/>
  <c r="J12" i="2911"/>
  <c r="CO5" i="2911"/>
  <c r="AT5" i="2911"/>
  <c r="EK13" i="2911"/>
  <c r="CF13" i="2911"/>
  <c r="FE15" i="2911"/>
  <c r="AW15" i="2911"/>
  <c r="DQ16" i="2911"/>
  <c r="DU16" i="2911"/>
  <c r="IG6" i="2911"/>
  <c r="AH6" i="2911"/>
  <c r="DJ14" i="2911"/>
  <c r="CH14" i="2911"/>
  <c r="DT9" i="2911"/>
  <c r="S9" i="2911"/>
  <c r="FF17" i="2911"/>
  <c r="I17" i="2911"/>
  <c r="CX2" i="2911"/>
  <c r="V2" i="2911"/>
  <c r="FC10" i="2911"/>
  <c r="CG10" i="2911"/>
  <c r="C10" i="2911"/>
  <c r="EK18" i="2911"/>
  <c r="DR18" i="2911"/>
  <c r="AI18" i="2911"/>
  <c r="GV3" i="2911"/>
  <c r="FY3" i="2911"/>
  <c r="BC3" i="2911"/>
  <c r="AI3" i="2911"/>
  <c r="FF11" i="2911"/>
  <c r="CY11" i="2911"/>
  <c r="D11" i="2911"/>
  <c r="K11" i="2911"/>
  <c r="FV19" i="2911"/>
  <c r="DI19" i="2911"/>
  <c r="HN7" i="2911"/>
  <c r="IQ13" i="2911"/>
  <c r="HC14" i="2911"/>
  <c r="HW10" i="2911"/>
  <c r="DQ12" i="2911"/>
  <c r="DY16" i="2911"/>
  <c r="CA17" i="2911"/>
  <c r="T4" i="2911"/>
  <c r="GL8" i="2911"/>
  <c r="BB12" i="2911"/>
  <c r="R5" i="2911"/>
  <c r="IJ15" i="2911"/>
  <c r="IO16" i="2911"/>
  <c r="IM6" i="2911"/>
  <c r="IM14" i="2911"/>
  <c r="IL9" i="2911"/>
  <c r="IL17" i="2911"/>
  <c r="II2" i="2911"/>
  <c r="II10" i="2911"/>
  <c r="CO4" i="2911"/>
  <c r="DT7" i="2911"/>
  <c r="DG8" i="2911"/>
  <c r="DD12" i="2911"/>
  <c r="CD5" i="2911"/>
  <c r="DS13" i="2911"/>
  <c r="DB15" i="2911"/>
  <c r="CC16" i="2911"/>
  <c r="GY6" i="2911"/>
  <c r="IN14" i="2911"/>
  <c r="CP14" i="2911"/>
  <c r="G14" i="2911"/>
  <c r="EL9" i="2911"/>
  <c r="CU9" i="2911"/>
  <c r="N9" i="2911"/>
  <c r="GS17" i="2911"/>
  <c r="BQ17" i="2911"/>
  <c r="C17" i="2911"/>
  <c r="HI2" i="2911"/>
  <c r="CI2" i="2911"/>
  <c r="AD2" i="2911"/>
  <c r="IC10" i="2911"/>
  <c r="EA10" i="2911"/>
  <c r="W10" i="2911"/>
  <c r="H10" i="2911"/>
  <c r="HF18" i="2911"/>
  <c r="DI18" i="2911"/>
  <c r="L18" i="2911"/>
  <c r="V18" i="2911"/>
  <c r="FC3" i="2911"/>
  <c r="CJ3" i="2911"/>
  <c r="Y3" i="2911"/>
  <c r="HS4" i="2911"/>
  <c r="FV4" i="2911"/>
  <c r="HR7" i="2911"/>
  <c r="BX7" i="2911"/>
  <c r="HW8" i="2911"/>
  <c r="BU8" i="2911"/>
  <c r="HS12" i="2911"/>
  <c r="HV12" i="2911"/>
  <c r="HX5" i="2911"/>
  <c r="EL5" i="2911"/>
  <c r="HX13" i="2911"/>
  <c r="CL13" i="2911"/>
  <c r="HR15" i="2911"/>
  <c r="BX15" i="2911"/>
  <c r="HW16" i="2911"/>
  <c r="DO16" i="2911"/>
  <c r="HU6" i="2911"/>
  <c r="FH6" i="2911"/>
  <c r="HU14" i="2911"/>
  <c r="CQ14" i="2911"/>
  <c r="HT9" i="2911"/>
  <c r="EI9" i="2911"/>
  <c r="HT17" i="2911"/>
  <c r="ER17" i="2911"/>
  <c r="HQ2" i="2911"/>
  <c r="GN2" i="2911"/>
  <c r="AY2" i="2911"/>
  <c r="EC10" i="2911"/>
  <c r="CD10" i="2911"/>
  <c r="AV10" i="2911"/>
  <c r="EH18" i="2911"/>
  <c r="CV18" i="2911"/>
  <c r="BT18" i="2911"/>
  <c r="HR3" i="2911"/>
  <c r="FU3" i="2911"/>
  <c r="AB3" i="2911"/>
  <c r="AJ3" i="2911"/>
  <c r="FC11" i="2911"/>
  <c r="DN11" i="2911"/>
  <c r="I11" i="2911"/>
  <c r="AS11" i="2911"/>
  <c r="GU19" i="2911"/>
  <c r="DG19" i="2911"/>
  <c r="FM7" i="2911"/>
  <c r="CY13" i="2911"/>
  <c r="HT14" i="2911"/>
  <c r="CZ10" i="2911"/>
  <c r="BI12" i="2911"/>
  <c r="W16" i="2911"/>
  <c r="DF17" i="2911"/>
  <c r="EL4" i="2911"/>
  <c r="EP8" i="2911"/>
  <c r="FB12" i="2911"/>
  <c r="DY5" i="2911"/>
  <c r="GW15" i="2911"/>
  <c r="HZ16" i="2911"/>
  <c r="HH6" i="2911"/>
  <c r="HH14" i="2911"/>
  <c r="GY9" i="2911"/>
  <c r="HP17" i="2911"/>
  <c r="IB2" i="2911"/>
  <c r="HE10" i="2911"/>
  <c r="DF4" i="2911"/>
  <c r="DB7" i="2911"/>
  <c r="BV8" i="2911"/>
  <c r="DC12" i="2911"/>
  <c r="CU5" i="2911"/>
  <c r="CM13" i="2911"/>
  <c r="BY15" i="2911"/>
  <c r="CL16" i="2911"/>
  <c r="CH6" i="2911"/>
  <c r="GS14" i="2911"/>
  <c r="CO14" i="2911"/>
  <c r="IG9" i="2911"/>
  <c r="DX9" i="2911"/>
  <c r="BT9" i="2911"/>
  <c r="IG17" i="2911"/>
  <c r="EF17" i="2911"/>
  <c r="DT17" i="2911"/>
  <c r="ID2" i="2911"/>
  <c r="DX2" i="2911"/>
  <c r="CG2" i="2911"/>
  <c r="ID10" i="2911"/>
  <c r="FW10" i="2911"/>
  <c r="EM10" i="2911"/>
  <c r="AM10" i="2911"/>
  <c r="ID18" i="2911"/>
  <c r="EP18" i="2911"/>
  <c r="DT18" i="2911"/>
  <c r="Y18" i="2911"/>
  <c r="II3" i="2911"/>
  <c r="HH3" i="2911"/>
  <c r="DY3" i="2911"/>
  <c r="BV3" i="2911"/>
  <c r="HI4" i="2911"/>
  <c r="BW4" i="2911"/>
  <c r="GZ7" i="2911"/>
  <c r="BY7" i="2911"/>
  <c r="IT8" i="2911"/>
  <c r="CY8" i="2911"/>
  <c r="HI12" i="2911"/>
  <c r="BR12" i="2911"/>
  <c r="IM5" i="2911"/>
  <c r="HV5" i="2911"/>
  <c r="GX13" i="2911"/>
  <c r="DV13" i="2911"/>
  <c r="IK15" i="2911"/>
  <c r="BQ15" i="2911"/>
  <c r="HE16" i="2911"/>
  <c r="BN16" i="2911"/>
  <c r="HK6" i="2911"/>
  <c r="AN6" i="2911"/>
  <c r="IO14" i="2911"/>
  <c r="BT14" i="2911"/>
  <c r="HJ9" i="2911"/>
  <c r="CM9" i="2911"/>
  <c r="HJ17" i="2911"/>
  <c r="CJ17" i="2911"/>
  <c r="IF2" i="2911"/>
  <c r="CF2" i="2911"/>
  <c r="IT10" i="2911"/>
  <c r="EZ10" i="2911"/>
  <c r="AE10" i="2911"/>
  <c r="HV18" i="2911"/>
  <c r="HW18" i="2911"/>
  <c r="AJ18" i="2911"/>
  <c r="AM18" i="2911"/>
  <c r="IC3" i="2911"/>
  <c r="BW3" i="2911"/>
  <c r="AG3" i="2911"/>
  <c r="IQ11" i="2911"/>
  <c r="GT11" i="2911"/>
  <c r="HC11" i="2911"/>
  <c r="AV11" i="2911"/>
  <c r="IQ19" i="2911"/>
  <c r="EM19" i="2911"/>
  <c r="EL19" i="2911"/>
  <c r="AS19" i="2911"/>
  <c r="IA8" i="2911"/>
  <c r="GZ15" i="2911"/>
  <c r="HR9" i="2911"/>
  <c r="CP4" i="2911"/>
  <c r="DS5" i="2911"/>
  <c r="CB6" i="2911"/>
  <c r="DK2" i="2911"/>
  <c r="EL7" i="2911"/>
  <c r="AX8" i="2911"/>
  <c r="AP12" i="2911"/>
  <c r="EJ13" i="2911"/>
  <c r="FX15" i="2911"/>
  <c r="FU16" i="2911"/>
  <c r="GA6" i="2911"/>
  <c r="FK14" i="2911"/>
  <c r="FR9" i="2911"/>
  <c r="FJ17" i="2911"/>
  <c r="GA2" i="2911"/>
  <c r="EQ10" i="2911"/>
  <c r="EC4" i="2911"/>
  <c r="BU7" i="2911"/>
  <c r="BT8" i="2911"/>
  <c r="AV12" i="2911"/>
  <c r="F5" i="2911"/>
  <c r="AA13" i="2911"/>
  <c r="DC15" i="2911"/>
  <c r="AH16" i="2911"/>
  <c r="BR6" i="2911"/>
  <c r="IV14" i="2911"/>
  <c r="AZ14" i="2911"/>
  <c r="IS9" i="2911"/>
  <c r="GW9" i="2911"/>
  <c r="J9" i="2911"/>
  <c r="IS17" i="2911"/>
  <c r="EJ17" i="2911"/>
  <c r="J17" i="2911"/>
  <c r="IH2" i="2911"/>
  <c r="EL2" i="2911"/>
  <c r="G2" i="2911"/>
  <c r="IH10" i="2911"/>
  <c r="FZ10" i="2911"/>
  <c r="CN10" i="2911"/>
  <c r="AG10" i="2911"/>
  <c r="IH18" i="2911"/>
  <c r="GA18" i="2911"/>
  <c r="DD18" i="2911"/>
  <c r="AV18" i="2911"/>
  <c r="IU3" i="2911"/>
  <c r="GX3" i="2911"/>
  <c r="DD3" i="2911"/>
  <c r="CF3" i="2911"/>
  <c r="GN4" i="2911"/>
  <c r="DV4" i="2911"/>
  <c r="GV7" i="2911"/>
  <c r="AX7" i="2911"/>
  <c r="IH8" i="2911"/>
  <c r="HU8" i="2911"/>
  <c r="HJ12" i="2911"/>
  <c r="AY12" i="2911"/>
  <c r="GC5" i="2911"/>
  <c r="AV5" i="2911"/>
  <c r="HO13" i="2911"/>
  <c r="AN13" i="2911"/>
  <c r="HD15" i="2911"/>
  <c r="DR15" i="2911"/>
  <c r="GJ16" i="2911"/>
  <c r="ES16" i="2911"/>
  <c r="IV6" i="2911"/>
  <c r="DK6" i="2911"/>
  <c r="HP14" i="2911"/>
  <c r="BA14" i="2911"/>
  <c r="HC9" i="2911"/>
  <c r="FH9" i="2911"/>
  <c r="HZ17" i="2911"/>
  <c r="CW17" i="2911"/>
  <c r="HM2" i="2911"/>
  <c r="CL2" i="2911"/>
  <c r="HG10" i="2911"/>
  <c r="CP10" i="2911"/>
  <c r="AB10" i="2911"/>
  <c r="HR18" i="2911"/>
  <c r="GH18" i="2911"/>
  <c r="BE18" i="2911"/>
  <c r="F18" i="2911"/>
  <c r="FN3" i="2911"/>
  <c r="CR3" i="2911"/>
  <c r="BA3" i="2911"/>
  <c r="HP11" i="2911"/>
  <c r="EN11" i="2911"/>
  <c r="CC11" i="2911"/>
  <c r="BY11" i="2911"/>
  <c r="HP19" i="2911"/>
  <c r="HM19" i="2911"/>
  <c r="CW19" i="2911"/>
  <c r="CV19" i="2911"/>
  <c r="DJ11" i="2911"/>
  <c r="B11" i="2911"/>
  <c r="GM19" i="2911"/>
  <c r="AD19" i="2911"/>
  <c r="U12" i="2911"/>
  <c r="CO13" i="2911"/>
  <c r="B15" i="2911"/>
  <c r="FF6" i="2911"/>
  <c r="HZ9" i="2911"/>
  <c r="AU17" i="2911"/>
  <c r="IQ10" i="2911"/>
  <c r="IG18" i="2911"/>
  <c r="AF18" i="2911"/>
  <c r="A3" i="2911"/>
  <c r="DX11" i="2911"/>
  <c r="GW19" i="2911"/>
  <c r="HV4" i="2911"/>
  <c r="FS4" i="2911"/>
  <c r="AZ4" i="2911"/>
  <c r="GT7" i="2911"/>
  <c r="AU7" i="2911"/>
  <c r="FO8" i="2911"/>
  <c r="BW8" i="2911"/>
  <c r="FK12" i="2911"/>
  <c r="BF12" i="2911"/>
  <c r="ER5" i="2911"/>
  <c r="CB5" i="2911"/>
  <c r="GF13" i="2911"/>
  <c r="BB13" i="2911"/>
  <c r="FJ15" i="2911"/>
  <c r="BM15" i="2911"/>
  <c r="FG16" i="2911"/>
  <c r="EY12" i="2911"/>
  <c r="GN16" i="2911"/>
  <c r="DC17" i="2911"/>
  <c r="BH7" i="2911"/>
  <c r="H13" i="2911"/>
  <c r="CS14" i="2911"/>
  <c r="EE4" i="2911"/>
  <c r="BW7" i="2911"/>
  <c r="AL8" i="2911"/>
  <c r="EK5" i="2911"/>
  <c r="AY13" i="2911"/>
  <c r="CL15" i="2911"/>
  <c r="DR16" i="2911"/>
  <c r="CZ6" i="2911"/>
  <c r="BL14" i="2911"/>
  <c r="EM9" i="2911"/>
  <c r="CU17" i="2911"/>
  <c r="CA2" i="2911"/>
  <c r="IR4" i="2911"/>
  <c r="IQ7" i="2911"/>
  <c r="IV8" i="2911"/>
  <c r="IR12" i="2911"/>
  <c r="IO5" i="2911"/>
  <c r="IO13" i="2911"/>
  <c r="IQ15" i="2911"/>
  <c r="IV16" i="2911"/>
  <c r="IT6" i="2911"/>
  <c r="V6" i="2911"/>
  <c r="FP14" i="2911"/>
  <c r="Z14" i="2911"/>
  <c r="FL9" i="2911"/>
  <c r="DL9" i="2911"/>
  <c r="CT9" i="2911"/>
  <c r="EV17" i="2911"/>
  <c r="DU17" i="2911"/>
  <c r="BF17" i="2911"/>
  <c r="GX2" i="2911"/>
  <c r="EB2" i="2911"/>
  <c r="ER2" i="2911"/>
  <c r="HU10" i="2911"/>
  <c r="IF10" i="2911"/>
  <c r="GO10" i="2911"/>
  <c r="V10" i="2911"/>
  <c r="IE18" i="2911"/>
  <c r="EV18" i="2911"/>
  <c r="DG18" i="2911"/>
  <c r="CC18" i="2911"/>
  <c r="GI3" i="2911"/>
  <c r="EJ3" i="2911"/>
  <c r="CD3" i="2911"/>
  <c r="DT3" i="2911"/>
  <c r="DR4" i="2911"/>
  <c r="AV4" i="2911"/>
  <c r="IO7" i="2911"/>
  <c r="BC7" i="2911"/>
  <c r="ED8" i="2911"/>
  <c r="AI8" i="2911"/>
  <c r="DB12" i="2911"/>
  <c r="AU12" i="2911"/>
  <c r="HA5" i="2911"/>
  <c r="X5" i="2911"/>
  <c r="EY13" i="2911"/>
  <c r="CS13" i="2911"/>
  <c r="ES15" i="2911"/>
  <c r="AO15" i="2911"/>
  <c r="DV16" i="2911"/>
  <c r="AQ16" i="2911"/>
  <c r="EI6" i="2911"/>
  <c r="BS6" i="2911"/>
  <c r="EH14" i="2911"/>
  <c r="BH14" i="2911"/>
  <c r="EA9" i="2911"/>
  <c r="AP9" i="2911"/>
  <c r="EO17" i="2911"/>
  <c r="AF17" i="2911"/>
  <c r="FG2" i="2911"/>
  <c r="I2" i="2911"/>
  <c r="GF10" i="2911"/>
  <c r="AZ10" i="2911"/>
  <c r="BG10" i="2911"/>
  <c r="HI18" i="2911"/>
  <c r="EN18" i="2911"/>
  <c r="T18" i="2911"/>
  <c r="IA3" i="2911"/>
  <c r="ES3" i="2911"/>
  <c r="DA3" i="2911"/>
  <c r="AS3" i="2911"/>
  <c r="GQ11" i="2911"/>
  <c r="FW11" i="2911"/>
  <c r="GX11" i="2911"/>
  <c r="BI11" i="2911"/>
  <c r="GX19" i="2911"/>
  <c r="FW19" i="2911"/>
  <c r="CL19" i="2911"/>
  <c r="AZ19" i="2911"/>
  <c r="BU11" i="2911"/>
  <c r="H11" i="2911"/>
  <c r="CR19" i="2911"/>
  <c r="AN19" i="2911"/>
  <c r="GN5" i="2911"/>
  <c r="HW15" i="2911"/>
  <c r="FS16" i="2911"/>
  <c r="IR14" i="2911"/>
  <c r="CE9" i="2911"/>
  <c r="HH2" i="2911"/>
  <c r="EG10" i="2911"/>
  <c r="FP18" i="2911"/>
  <c r="EH3" i="2911"/>
  <c r="IE11" i="2911"/>
  <c r="AY11" i="2911"/>
  <c r="BM19" i="2911"/>
  <c r="DS4" i="2911"/>
  <c r="EV4" i="2911"/>
  <c r="P4" i="2911"/>
  <c r="DV7" i="2911"/>
  <c r="CJ7" i="2911"/>
  <c r="FA8" i="2911"/>
  <c r="V8" i="2911"/>
  <c r="FZ12" i="2911"/>
  <c r="H12" i="2911"/>
  <c r="GB5" i="2911"/>
  <c r="Y5" i="2911"/>
  <c r="FD13" i="2911"/>
  <c r="BH13" i="2911"/>
  <c r="HX15" i="2911"/>
  <c r="BK15" i="2911"/>
  <c r="EX16" i="2911"/>
  <c r="Q16" i="2911"/>
  <c r="IF17" i="2911"/>
  <c r="GI4" i="2911"/>
  <c r="GA13" i="2911"/>
  <c r="ED14" i="2911"/>
  <c r="FX10" i="2911"/>
  <c r="DF12" i="2911"/>
  <c r="AB16" i="2911"/>
  <c r="IF9" i="2911"/>
  <c r="DO17" i="2911"/>
  <c r="AG2" i="2911"/>
  <c r="AN10" i="2911"/>
  <c r="EE18" i="2911"/>
  <c r="CI3" i="2911"/>
  <c r="M7" i="2911"/>
  <c r="FG12" i="2911"/>
  <c r="DX13" i="2911"/>
  <c r="BP16" i="2911"/>
  <c r="AF14" i="2911"/>
  <c r="AL17" i="2911"/>
  <c r="BX10" i="2911"/>
  <c r="AE18" i="2911"/>
  <c r="BH3" i="2911"/>
  <c r="AA11" i="2911"/>
  <c r="D19" i="2911"/>
  <c r="IG11" i="2911"/>
  <c r="IU19" i="2911"/>
  <c r="DL19" i="2911"/>
  <c r="HF5" i="2911"/>
  <c r="EL15" i="2911"/>
  <c r="EG6" i="2911"/>
  <c r="GX9" i="2911"/>
  <c r="GP2" i="2911"/>
  <c r="CA10" i="2911"/>
  <c r="IL3" i="2911"/>
  <c r="GY11" i="2911"/>
  <c r="HD19" i="2911"/>
  <c r="ES4" i="2911"/>
  <c r="EB4" i="2911"/>
  <c r="IT7" i="2911"/>
  <c r="E7" i="2911"/>
  <c r="DE8" i="2911"/>
  <c r="HA12" i="2911"/>
  <c r="FD12" i="2911"/>
  <c r="CG5" i="2911"/>
  <c r="HK13" i="2911"/>
  <c r="BS13" i="2911"/>
  <c r="DU15" i="2911"/>
  <c r="GW16" i="2911"/>
  <c r="AR16" i="2911"/>
  <c r="IO6" i="2911"/>
  <c r="X6" i="2911"/>
  <c r="FO14" i="2911"/>
  <c r="X14" i="2911"/>
  <c r="GF9" i="2911"/>
  <c r="O9" i="2911"/>
  <c r="GX17" i="2911"/>
  <c r="AE17" i="2911"/>
  <c r="FF2" i="2911"/>
  <c r="T2" i="2911"/>
  <c r="GR10" i="2911"/>
  <c r="HP10" i="2911"/>
  <c r="BK10" i="2911"/>
  <c r="HM18" i="2911"/>
  <c r="ET18" i="2911"/>
  <c r="W18" i="2911"/>
  <c r="P18" i="2911"/>
  <c r="GB3" i="2911"/>
  <c r="BY3" i="2911"/>
  <c r="AQ3" i="2911"/>
  <c r="GI11" i="2911"/>
  <c r="CU11" i="2911"/>
  <c r="II19" i="2911"/>
  <c r="DQ19" i="2911"/>
  <c r="HV7" i="2911"/>
  <c r="FA5" i="2911"/>
  <c r="FT15" i="2911"/>
  <c r="U16" i="2911"/>
  <c r="GQ14" i="2911"/>
  <c r="CR9" i="2911"/>
  <c r="EH2" i="2911"/>
  <c r="DO10" i="2911"/>
  <c r="CE18" i="2911"/>
  <c r="EW3" i="2911"/>
  <c r="EH11" i="2911"/>
  <c r="C11" i="2911"/>
  <c r="BL19" i="2911"/>
  <c r="IN4" i="2911"/>
  <c r="DT4" i="2911"/>
  <c r="IM7" i="2911"/>
  <c r="EK7" i="2911"/>
  <c r="IR8" i="2911"/>
  <c r="GT8" i="2911"/>
  <c r="IN12" i="2911"/>
  <c r="FM12" i="2911"/>
  <c r="IS5" i="2911"/>
  <c r="DX5" i="2911"/>
  <c r="IS13" i="2911"/>
  <c r="BV13" i="2911"/>
  <c r="IM15" i="2911"/>
  <c r="DM15" i="2911"/>
  <c r="IR16" i="2911"/>
  <c r="FR16" i="2911"/>
  <c r="IP6" i="2911"/>
  <c r="DW6" i="2911"/>
  <c r="IP14" i="2911"/>
  <c r="CA14" i="2911"/>
  <c r="IO9" i="2911"/>
  <c r="DN9" i="2911"/>
  <c r="IO17" i="2911"/>
  <c r="EH17" i="2911"/>
  <c r="IL2" i="2911"/>
  <c r="FC2" i="2911"/>
  <c r="AU2" i="2911"/>
  <c r="IK10" i="2911"/>
  <c r="BF10" i="2911"/>
  <c r="IO18" i="2911"/>
  <c r="GU18" i="2911"/>
  <c r="CF18" i="2911"/>
  <c r="AA18" i="2911"/>
  <c r="HF3" i="2911"/>
  <c r="FI3" i="2911"/>
  <c r="D3" i="2911"/>
  <c r="C3" i="2911"/>
  <c r="EM11" i="2911"/>
  <c r="CR11" i="2911"/>
  <c r="FR11" i="2911"/>
  <c r="AF11" i="2911"/>
  <c r="GC19" i="2911"/>
  <c r="GM4" i="2911"/>
  <c r="DY7" i="2911"/>
  <c r="EO15" i="2911"/>
  <c r="FE9" i="2911"/>
  <c r="AA4" i="2911"/>
  <c r="BN5" i="2911"/>
  <c r="M6" i="2911"/>
  <c r="CS9" i="2911"/>
  <c r="O17" i="2911"/>
  <c r="IM10" i="2911"/>
  <c r="HG18" i="2911"/>
  <c r="HT3" i="2911"/>
  <c r="GA4" i="2911"/>
  <c r="FW8" i="2911"/>
  <c r="EZ5" i="2911"/>
  <c r="FR15" i="2911"/>
  <c r="FM6" i="2911"/>
  <c r="GC9" i="2911"/>
  <c r="HC2" i="2911"/>
  <c r="Q10" i="2911"/>
  <c r="AS18" i="2911"/>
  <c r="HZ11" i="2911"/>
  <c r="IB19" i="2911"/>
  <c r="Q19" i="2911"/>
  <c r="CX11" i="2911"/>
  <c r="HY19" i="2911"/>
  <c r="I19" i="2911"/>
  <c r="FF5" i="2911"/>
  <c r="FC15" i="2911"/>
  <c r="EQ6" i="2911"/>
  <c r="CK9" i="2911"/>
  <c r="DZ2" i="2911"/>
  <c r="X10" i="2911"/>
  <c r="IO3" i="2911"/>
  <c r="HH11" i="2911"/>
  <c r="HH19" i="2911"/>
  <c r="DK4" i="2911"/>
  <c r="FE4" i="2911"/>
  <c r="GM7" i="2911"/>
  <c r="AT7" i="2911"/>
  <c r="IK8" i="2911"/>
  <c r="HH12" i="2911"/>
  <c r="AS12" i="2911"/>
  <c r="EG5" i="2911"/>
  <c r="HJ13" i="2911"/>
  <c r="BQ13" i="2911"/>
  <c r="EB15" i="2911"/>
  <c r="IT16" i="2911"/>
  <c r="BG16" i="2911"/>
  <c r="EB6" i="2911"/>
  <c r="BO6" i="2911"/>
  <c r="EB14" i="2911"/>
  <c r="BF14" i="2911"/>
  <c r="DS9" i="2911"/>
  <c r="AN9" i="2911"/>
  <c r="EM17" i="2911"/>
  <c r="X17" i="2911"/>
  <c r="EY2" i="2911"/>
  <c r="BD2" i="2911"/>
  <c r="FN10" i="2911"/>
  <c r="AR10" i="2911"/>
  <c r="AL10" i="2911"/>
  <c r="GX18" i="2911"/>
  <c r="EM18" i="2911"/>
  <c r="D18" i="2911"/>
  <c r="HS3" i="2911"/>
  <c r="EO3" i="2911"/>
  <c r="CN3" i="2911"/>
  <c r="AC3" i="2911"/>
  <c r="GO11" i="2911"/>
  <c r="FI11" i="2911"/>
  <c r="HT19" i="2911"/>
  <c r="FU19" i="2911"/>
  <c r="FJ12" i="2911"/>
  <c r="B5" i="2911"/>
  <c r="CI15" i="2911"/>
  <c r="GQ16" i="2911"/>
  <c r="GC14" i="2911"/>
  <c r="AI9" i="2911"/>
  <c r="DB2" i="2911"/>
  <c r="DT10" i="2911"/>
  <c r="EW18" i="2911"/>
  <c r="GP3" i="2911"/>
  <c r="FG11" i="2911"/>
  <c r="IE19" i="2911"/>
  <c r="AX19" i="2911"/>
  <c r="IU4" i="2911"/>
  <c r="BJ4" i="2911"/>
  <c r="IL7" i="2911"/>
  <c r="DU7" i="2911"/>
  <c r="IL8" i="2911"/>
  <c r="CQ8" i="2911"/>
  <c r="IO12" i="2911"/>
  <c r="EB12" i="2911"/>
  <c r="HW5" i="2911"/>
  <c r="CJ5" i="2911"/>
  <c r="HC13" i="2911"/>
  <c r="CV13" i="2911"/>
  <c r="HU15" i="2911"/>
  <c r="BA15" i="2911"/>
  <c r="HJ16" i="2911"/>
  <c r="AX16" i="2911"/>
  <c r="GU6" i="2911"/>
  <c r="HJ6" i="2911"/>
  <c r="HY14" i="2911"/>
  <c r="EK14" i="2911"/>
  <c r="IP9" i="2911"/>
  <c r="DP7" i="2911"/>
  <c r="BI7" i="2911"/>
  <c r="DL15" i="2911"/>
  <c r="EW9" i="2911"/>
  <c r="L4" i="2911"/>
  <c r="M5" i="2911"/>
  <c r="AR6" i="2911"/>
  <c r="CP9" i="2911"/>
  <c r="L17" i="2911"/>
  <c r="GT10" i="2911"/>
  <c r="GV18" i="2911"/>
  <c r="HY3" i="2911"/>
  <c r="GP4" i="2911"/>
  <c r="FY8" i="2911"/>
  <c r="GM5" i="2911"/>
  <c r="HI15" i="2911"/>
  <c r="FW6" i="2911"/>
  <c r="GH9" i="2911"/>
  <c r="FN2" i="2911"/>
  <c r="E10" i="2911"/>
  <c r="AH18" i="2911"/>
  <c r="HM11" i="2911"/>
  <c r="IG19" i="2911"/>
  <c r="B19" i="2911"/>
  <c r="BS11" i="2911"/>
  <c r="GO19" i="2911"/>
  <c r="BF19" i="2911"/>
  <c r="DP5" i="2911"/>
  <c r="AK15" i="2911"/>
  <c r="FN6" i="2911"/>
  <c r="X9" i="2911"/>
  <c r="BO2" i="2911"/>
  <c r="HL18" i="2911"/>
  <c r="DU3" i="2911"/>
  <c r="FU11" i="2911"/>
  <c r="EI19" i="2911"/>
  <c r="AC4" i="2911"/>
  <c r="BU4" i="2911"/>
  <c r="GL7" i="2911"/>
  <c r="C7" i="2911"/>
  <c r="CW8" i="2911"/>
  <c r="GM12" i="2911"/>
  <c r="R12" i="2911"/>
  <c r="DB5" i="2911"/>
  <c r="FZ13" i="2911"/>
  <c r="AC13" i="2911"/>
  <c r="BI15" i="2911"/>
  <c r="GE16" i="2911"/>
  <c r="AK16" i="2911"/>
  <c r="GJ6" i="2911"/>
  <c r="AP6" i="2911"/>
  <c r="GW14" i="2911"/>
  <c r="EV14" i="2911"/>
  <c r="GU9" i="2911"/>
  <c r="I9" i="2911"/>
  <c r="GA17" i="2911"/>
  <c r="BJ17" i="2911"/>
  <c r="FD2" i="2911"/>
  <c r="BL2" i="2911"/>
  <c r="GE10" i="2911"/>
  <c r="BE10" i="2911"/>
  <c r="BC10" i="2911"/>
  <c r="HJ18" i="2911"/>
  <c r="CU18" i="2911"/>
  <c r="I18" i="2911"/>
  <c r="HW3" i="2911"/>
  <c r="DJ3" i="2911"/>
  <c r="EG3" i="2911"/>
  <c r="CV3" i="2911"/>
  <c r="EX11" i="2911"/>
  <c r="BE11" i="2911"/>
  <c r="GQ19" i="2911"/>
  <c r="BY19" i="2911"/>
  <c r="DL12" i="2911"/>
  <c r="GW13" i="2911"/>
  <c r="EP15" i="2911"/>
  <c r="II6" i="2911"/>
  <c r="CG14" i="2911"/>
  <c r="IA17" i="2911"/>
  <c r="BS2" i="2911"/>
  <c r="D10" i="2911"/>
  <c r="IM18" i="2911"/>
  <c r="BJ3" i="2911"/>
  <c r="EI11" i="2911"/>
  <c r="GT19" i="2911"/>
  <c r="C19" i="2911"/>
  <c r="IH4" i="2911"/>
  <c r="CS4" i="2911"/>
  <c r="GE7" i="2911"/>
  <c r="GI7" i="2911"/>
  <c r="HI8" i="2911"/>
  <c r="DQ8" i="2911"/>
  <c r="GW12" i="2911"/>
  <c r="GZ12" i="2911"/>
  <c r="GP5" i="2911"/>
  <c r="IT5" i="2911"/>
  <c r="HH13" i="2911"/>
  <c r="CN13" i="2911"/>
  <c r="GJ15" i="2911"/>
  <c r="CJ15" i="2911"/>
  <c r="HU16" i="2911"/>
  <c r="GA16" i="2911"/>
  <c r="GH6" i="2911"/>
  <c r="HG6" i="2911"/>
  <c r="GM14" i="2911"/>
  <c r="AK14" i="2911"/>
  <c r="GT9" i="2911"/>
  <c r="DW9" i="2911"/>
  <c r="GL17" i="2911"/>
  <c r="CD17" i="2911"/>
  <c r="GW2" i="2911"/>
  <c r="BY2" i="2911"/>
  <c r="GV10" i="2911"/>
  <c r="FP10" i="2911"/>
  <c r="L10" i="2911"/>
  <c r="IN18" i="2911"/>
  <c r="FT18" i="2911"/>
  <c r="AO18" i="2911"/>
  <c r="BU18" i="2911"/>
  <c r="EP3" i="2911"/>
  <c r="GR3" i="2911"/>
  <c r="AD3" i="2911"/>
  <c r="IM11" i="2911"/>
  <c r="GM11" i="2911"/>
  <c r="GW11" i="2911"/>
  <c r="BL11" i="2911"/>
  <c r="IM19" i="2911"/>
  <c r="FZ8" i="2911"/>
  <c r="DN5" i="2911"/>
  <c r="DI8" i="2911"/>
  <c r="FH16" i="2911"/>
  <c r="GH17" i="2911"/>
  <c r="J7" i="2911"/>
  <c r="AB13" i="2911"/>
  <c r="GV14" i="2911"/>
  <c r="HI9" i="2911"/>
  <c r="GV2" i="2911"/>
  <c r="DP10" i="2911"/>
  <c r="EY18" i="2911"/>
  <c r="FB3" i="2911"/>
  <c r="BH4" i="2911"/>
  <c r="CP8" i="2911"/>
  <c r="CC5" i="2911"/>
  <c r="CK15" i="2911"/>
  <c r="BZ6" i="2911"/>
  <c r="AK9" i="2911"/>
  <c r="FE2" i="2911"/>
  <c r="IJ18" i="2911"/>
  <c r="FK3" i="2911"/>
  <c r="DE11" i="2911"/>
  <c r="FM19" i="2911"/>
  <c r="AE19" i="2911"/>
  <c r="CD11" i="2911"/>
  <c r="GP19" i="2911"/>
  <c r="AQ19" i="2911"/>
  <c r="DA5" i="2911"/>
  <c r="E15" i="2911"/>
  <c r="F6" i="2911"/>
  <c r="HY17" i="2911"/>
  <c r="K2" i="2911"/>
  <c r="GE18" i="2911"/>
  <c r="DF3" i="2911"/>
  <c r="ES11" i="2911"/>
  <c r="CE19" i="2911"/>
  <c r="IV4" i="2911"/>
  <c r="CU4" i="2911"/>
  <c r="GQ7" i="2911"/>
  <c r="HO8" i="2911"/>
  <c r="FN8" i="2911"/>
  <c r="GV12" i="2911"/>
  <c r="HP5" i="2911"/>
  <c r="AN5" i="2911"/>
  <c r="EE13" i="2911"/>
  <c r="IU15" i="2911"/>
  <c r="CS15" i="2911"/>
  <c r="DN16" i="2911"/>
  <c r="BZ16" i="2911"/>
  <c r="HE6" i="2911"/>
  <c r="G6" i="2911"/>
  <c r="DB14" i="2911"/>
  <c r="DG14" i="2911"/>
  <c r="DR9" i="2911"/>
  <c r="V9" i="2911"/>
  <c r="DM17" i="2911"/>
  <c r="DG17" i="2911"/>
  <c r="DW2" i="2911"/>
  <c r="F2" i="2911"/>
  <c r="EN10" i="2911"/>
  <c r="CC10" i="2911"/>
  <c r="A10" i="2911"/>
  <c r="HC18" i="2911"/>
  <c r="GF18" i="2911"/>
  <c r="AC18" i="2911"/>
  <c r="HI3" i="2911"/>
  <c r="FQ3" i="2911"/>
  <c r="AU3" i="2911"/>
  <c r="AA3" i="2911"/>
  <c r="EU11" i="2911"/>
  <c r="EZ11" i="2911"/>
  <c r="FN19" i="2911"/>
  <c r="BR19" i="2911"/>
  <c r="O12" i="2911"/>
  <c r="DG13" i="2911"/>
  <c r="F15" i="2911"/>
  <c r="GW6" i="2911"/>
  <c r="Y14" i="2911"/>
  <c r="DK17" i="2911"/>
  <c r="AQ2" i="2911"/>
  <c r="AH10" i="2911"/>
  <c r="M18" i="2911"/>
  <c r="CO3" i="2911"/>
  <c r="CJ11" i="2911"/>
  <c r="GA19" i="2911"/>
  <c r="IC4" i="2911"/>
  <c r="FK4" i="2911"/>
  <c r="AR4" i="2911"/>
  <c r="FZ7" i="2911"/>
  <c r="AL7" i="2911"/>
  <c r="FG8" i="2911"/>
  <c r="BR8" i="2911"/>
  <c r="FC12" i="2911"/>
  <c r="AO12" i="2911"/>
  <c r="EJ5" i="2911"/>
  <c r="CA5" i="2911"/>
  <c r="FX13" i="2911"/>
  <c r="AD13" i="2911"/>
  <c r="FB15" i="2911"/>
  <c r="AV15" i="2911"/>
  <c r="EY16" i="2911"/>
  <c r="AI16" i="2911"/>
  <c r="EW6" i="2911"/>
  <c r="BE6" i="2911"/>
  <c r="HJ14" i="2911"/>
  <c r="BK14" i="2911"/>
  <c r="FT9" i="2911"/>
  <c r="HQ12" i="2911"/>
  <c r="GZ13" i="2911"/>
  <c r="D8" i="2911"/>
  <c r="DJ16" i="2911"/>
  <c r="BS17" i="2911"/>
  <c r="Y7" i="2911"/>
  <c r="U13" i="2911"/>
  <c r="EQ14" i="2911"/>
  <c r="T9" i="2911"/>
  <c r="GI2" i="2911"/>
  <c r="DU10" i="2911"/>
  <c r="EF18" i="2911"/>
  <c r="EZ3" i="2911"/>
  <c r="BA4" i="2911"/>
  <c r="AH8" i="2911"/>
  <c r="AA5" i="2911"/>
  <c r="AR15" i="2911"/>
  <c r="AF6" i="2911"/>
  <c r="W9" i="2911"/>
  <c r="AB2" i="2911"/>
  <c r="HU18" i="2911"/>
  <c r="GJ3" i="2911"/>
  <c r="DR11" i="2911"/>
  <c r="IH19" i="2911"/>
  <c r="DO19" i="2911"/>
  <c r="DH11" i="2911"/>
  <c r="GD19" i="2911"/>
  <c r="D4" i="2911"/>
  <c r="IC13" i="2911"/>
  <c r="GZ16" i="2911"/>
  <c r="DD14" i="2911"/>
  <c r="EN17" i="2911"/>
  <c r="FY10" i="2911"/>
  <c r="DO18" i="2911"/>
  <c r="CC3" i="2911"/>
  <c r="BB11" i="2911"/>
  <c r="BC19" i="2911"/>
  <c r="HA4" i="2911"/>
  <c r="AP4" i="2911"/>
  <c r="FC7" i="2911"/>
  <c r="IQ8" i="2911"/>
  <c r="Z8" i="2911"/>
  <c r="CR12" i="2911"/>
  <c r="IE5" i="2911"/>
  <c r="S5" i="2911"/>
  <c r="EI13" i="2911"/>
  <c r="IC15" i="2911"/>
  <c r="AC15" i="2911"/>
  <c r="DB16" i="2911"/>
  <c r="HM6" i="2911"/>
  <c r="FA6" i="2911"/>
  <c r="HM14" i="2911"/>
  <c r="CI14" i="2911"/>
  <c r="HL9" i="2911"/>
  <c r="EE9" i="2911"/>
  <c r="HL17" i="2911"/>
  <c r="EI17" i="2911"/>
  <c r="IT2" i="2911"/>
  <c r="FK2" i="2911"/>
  <c r="CW2" i="2911"/>
  <c r="DM10" i="2911"/>
  <c r="CB10" i="2911"/>
  <c r="B10" i="2911"/>
  <c r="HB18" i="2911"/>
  <c r="CN18" i="2911"/>
  <c r="BD18" i="2911"/>
  <c r="HM3" i="2911"/>
  <c r="FR3" i="2911"/>
  <c r="T3" i="2911"/>
  <c r="S3" i="2911"/>
  <c r="GP11" i="2911"/>
  <c r="A11" i="2911"/>
  <c r="GZ19" i="2911"/>
  <c r="BS19" i="2911"/>
  <c r="IC5" i="2911"/>
  <c r="IM13" i="2911"/>
  <c r="IB16" i="2911"/>
  <c r="ER6" i="2911"/>
  <c r="HY9" i="2911"/>
  <c r="CQ17" i="2911"/>
  <c r="R2" i="2911"/>
  <c r="II18" i="2911"/>
  <c r="AD18" i="2911"/>
  <c r="Z3" i="2911"/>
  <c r="AO11" i="2911"/>
  <c r="EG19" i="2911"/>
  <c r="DW4" i="2911"/>
  <c r="HE4" i="2911"/>
  <c r="AD4" i="2911"/>
  <c r="GB7" i="2911"/>
  <c r="FU7" i="2911"/>
  <c r="GV8" i="2911"/>
  <c r="R8" i="2911"/>
  <c r="FU12" i="2911"/>
  <c r="DT12" i="2911"/>
  <c r="FV5" i="2911"/>
  <c r="K5" i="2911"/>
  <c r="FR13" i="2911"/>
  <c r="AT13" i="2911"/>
  <c r="GI15" i="2911"/>
  <c r="U15" i="2911"/>
  <c r="FY16" i="2911"/>
  <c r="BA16" i="2911"/>
  <c r="HF6" i="2911"/>
  <c r="P6" i="2911"/>
  <c r="IF14" i="2911"/>
  <c r="IP16" i="2911"/>
  <c r="EF14" i="2911"/>
  <c r="EW5" i="2911"/>
  <c r="BT6" i="2911"/>
  <c r="FZ2" i="2911"/>
  <c r="T8" i="2911"/>
  <c r="AG15" i="2911"/>
  <c r="AC14" i="2911"/>
  <c r="IP17" i="2911"/>
  <c r="DQ2" i="2911"/>
  <c r="DQ10" i="2911"/>
  <c r="CS18" i="2911"/>
  <c r="AT3" i="2911"/>
  <c r="GN7" i="2911"/>
  <c r="GO12" i="2911"/>
  <c r="IR13" i="2911"/>
  <c r="GK16" i="2911"/>
  <c r="FW14" i="2911"/>
  <c r="HA17" i="2911"/>
  <c r="GX10" i="2911"/>
  <c r="DE18" i="2911"/>
  <c r="CL3" i="2911"/>
  <c r="CG11" i="2911"/>
  <c r="AT19" i="2911"/>
  <c r="E19" i="2911"/>
  <c r="AX11" i="2911"/>
  <c r="CH19" i="2911"/>
  <c r="DU12" i="2911"/>
  <c r="EV13" i="2911"/>
  <c r="AJ16" i="2911"/>
  <c r="AX14" i="2911"/>
  <c r="G17" i="2911"/>
  <c r="FH10" i="2911"/>
  <c r="CR18" i="2911"/>
  <c r="DV3" i="2911"/>
  <c r="U11" i="2911"/>
  <c r="AK19" i="2911"/>
  <c r="FU4" i="2911"/>
  <c r="BS4" i="2911"/>
  <c r="FQ7" i="2911"/>
  <c r="FQ8" i="2911"/>
  <c r="CX8" i="2911"/>
  <c r="GI12" i="2911"/>
  <c r="GD5" i="2911"/>
  <c r="AK5" i="2911"/>
  <c r="DP13" i="2911"/>
  <c r="HG15" i="2911"/>
  <c r="AU15" i="2911"/>
  <c r="BF16" i="2911"/>
  <c r="GP6" i="2911"/>
  <c r="CK6" i="2911"/>
  <c r="HB14" i="2911"/>
  <c r="AS14" i="2911"/>
  <c r="HA9" i="2911"/>
  <c r="EU9" i="2911"/>
  <c r="GV17" i="2911"/>
  <c r="CF17" i="2911"/>
  <c r="HE2" i="2911"/>
  <c r="CJ2" i="2911"/>
  <c r="HD10" i="2911"/>
  <c r="BZ10" i="2911"/>
  <c r="T10" i="2911"/>
  <c r="IV18" i="2911"/>
  <c r="FX18" i="2911"/>
  <c r="AW18" i="2911"/>
  <c r="DQ18" i="2911"/>
  <c r="FF3" i="2911"/>
  <c r="CB3" i="2911"/>
  <c r="AP3" i="2911"/>
  <c r="IU11" i="2911"/>
  <c r="HQ11" i="2911"/>
  <c r="S11" i="2911"/>
  <c r="FO19" i="2911"/>
  <c r="CI19" i="2911"/>
  <c r="EC5" i="2911"/>
  <c r="BC13" i="2911"/>
  <c r="HN16" i="2911"/>
  <c r="Y6" i="2911"/>
  <c r="FS9" i="2911"/>
  <c r="BD17" i="2911"/>
  <c r="EY10" i="2911"/>
  <c r="GT18" i="2911"/>
  <c r="GG3" i="2911"/>
  <c r="HS11" i="2911"/>
  <c r="N11" i="2911"/>
  <c r="CS19" i="2911"/>
  <c r="I4" i="2911"/>
  <c r="ET4" i="2911"/>
  <c r="CL4" i="2911"/>
  <c r="DN7" i="2911"/>
  <c r="BM7" i="2911"/>
  <c r="ER8" i="2911"/>
  <c r="N8" i="2911"/>
  <c r="FR12" i="2911"/>
  <c r="DI12" i="2911"/>
  <c r="FT5" i="2911"/>
  <c r="Q5" i="2911"/>
  <c r="FB13" i="2911"/>
  <c r="AR13" i="2911"/>
  <c r="GF15" i="2911"/>
  <c r="T15" i="2911"/>
  <c r="HA16" i="2911"/>
  <c r="P16" i="2911"/>
  <c r="FD6" i="2911"/>
  <c r="AX6" i="2911"/>
  <c r="GT14" i="2911"/>
  <c r="CV14" i="2911"/>
  <c r="GQ9" i="2911"/>
  <c r="CY9" i="2911"/>
  <c r="FS17" i="2911"/>
  <c r="AY17" i="2911"/>
  <c r="EO2" i="2911"/>
  <c r="AA2" i="2911"/>
  <c r="FO10" i="2911"/>
  <c r="AW10" i="2911"/>
  <c r="DE6" i="2911"/>
  <c r="G8" i="2911"/>
  <c r="DD2" i="2911"/>
  <c r="HQ7" i="2911"/>
  <c r="EG14" i="2911"/>
  <c r="DN3" i="2911"/>
  <c r="AD11" i="2911"/>
  <c r="FN16" i="2911"/>
  <c r="BX18" i="2911"/>
  <c r="GF4" i="2911"/>
  <c r="AA8" i="2911"/>
  <c r="CD13" i="2911"/>
  <c r="HC6" i="2911"/>
  <c r="HB9" i="2911"/>
  <c r="HX2" i="2911"/>
  <c r="O10" i="2911"/>
  <c r="R18" i="2911"/>
  <c r="II11" i="2911"/>
  <c r="W19" i="2911"/>
  <c r="ED6" i="2911"/>
  <c r="IU18" i="2911"/>
  <c r="DS19" i="2911"/>
  <c r="GF7" i="2911"/>
  <c r="FN12" i="2911"/>
  <c r="DW13" i="2911"/>
  <c r="DF16" i="2911"/>
  <c r="DT14" i="2911"/>
  <c r="BC9" i="2911"/>
  <c r="EA17" i="2911"/>
  <c r="GZ2" i="2911"/>
  <c r="B2" i="2911"/>
  <c r="GC10" i="2911"/>
  <c r="DS10" i="2911"/>
  <c r="FK18" i="2911"/>
  <c r="BR18" i="2911"/>
  <c r="HA3" i="2911"/>
  <c r="CK3" i="2911"/>
  <c r="U3" i="2911"/>
  <c r="EP11" i="2911"/>
  <c r="AW11" i="2911"/>
  <c r="AC11" i="2911"/>
  <c r="FF19" i="2911"/>
  <c r="CJ19" i="2911"/>
  <c r="A19" i="2911"/>
  <c r="BG19" i="2911"/>
  <c r="CB4" i="2911"/>
  <c r="HW7" i="2911"/>
  <c r="CU7" i="2911"/>
  <c r="ID8" i="2911"/>
  <c r="BZ8" i="2911"/>
  <c r="HY12" i="2911"/>
  <c r="IR5" i="2911"/>
  <c r="CA13" i="2911"/>
  <c r="GT16" i="2911"/>
  <c r="CR6" i="2911"/>
  <c r="AE14" i="2911"/>
  <c r="CC17" i="2911"/>
  <c r="FL2" i="2911"/>
  <c r="BI10" i="2911"/>
  <c r="BL18" i="2911"/>
  <c r="BM3" i="2911"/>
  <c r="HK11" i="2911"/>
  <c r="HJ19" i="2911"/>
  <c r="G19" i="2911"/>
  <c r="GY4" i="2911"/>
  <c r="CD4" i="2911"/>
  <c r="IF7" i="2911"/>
  <c r="AK7" i="2911"/>
  <c r="GW8" i="2911"/>
  <c r="DO8" i="2911"/>
  <c r="IM12" i="2911"/>
  <c r="CV12" i="2911"/>
  <c r="GV5" i="2911"/>
  <c r="CS5" i="2911"/>
  <c r="HV13" i="2911"/>
  <c r="CX13" i="2911"/>
  <c r="ID15" i="2911"/>
  <c r="BF15" i="2911"/>
  <c r="HC16" i="2911"/>
  <c r="BY16" i="2911"/>
  <c r="IJ6" i="2911"/>
  <c r="CU6" i="2911"/>
  <c r="HA14" i="2911"/>
  <c r="AN14" i="2911"/>
  <c r="HX9" i="2911"/>
  <c r="BV9" i="2911"/>
  <c r="HH17" i="2911"/>
  <c r="AZ17" i="2911"/>
  <c r="HD2" i="2911"/>
  <c r="BH2" i="2911"/>
  <c r="IP10" i="2911"/>
  <c r="FD10" i="2911"/>
  <c r="BB10" i="2911"/>
  <c r="IP18" i="2911"/>
  <c r="EQ18" i="2911"/>
  <c r="CB18" i="2911"/>
  <c r="CK18" i="2911"/>
  <c r="GM3" i="2911"/>
  <c r="DO3" i="2911"/>
  <c r="BZ3" i="2911"/>
  <c r="IF11" i="2911"/>
  <c r="FD11" i="2911"/>
  <c r="CS11" i="2911"/>
  <c r="GE11" i="2911"/>
  <c r="IF19" i="2911"/>
  <c r="FP19" i="2911"/>
  <c r="BU19" i="2911"/>
  <c r="EE19" i="2911"/>
  <c r="IG4" i="2911"/>
  <c r="BG4" i="2911"/>
  <c r="HP7" i="2911"/>
  <c r="CB7" i="2911"/>
  <c r="HB8" i="2911"/>
  <c r="BK8" i="2911"/>
  <c r="GN12" i="2911"/>
  <c r="CC12" i="2911"/>
  <c r="IB5" i="2911"/>
  <c r="CH5" i="2911"/>
  <c r="HN13" i="2911"/>
  <c r="BR13" i="2911"/>
  <c r="HB15" i="2911"/>
  <c r="AP15" i="2911"/>
  <c r="IS16" i="2911"/>
  <c r="BC16" i="2911"/>
  <c r="HT6" i="2911"/>
  <c r="BI6" i="2911"/>
  <c r="GP14" i="2911"/>
  <c r="CN14" i="2911"/>
  <c r="GO9" i="2911"/>
  <c r="BH9" i="2911"/>
  <c r="HF17" i="2911"/>
  <c r="AJ17" i="2911"/>
  <c r="IS2" i="2911"/>
  <c r="AR2" i="2911"/>
  <c r="HZ10" i="2911"/>
  <c r="EJ10" i="2911"/>
  <c r="AQ10" i="2911"/>
  <c r="HZ18" i="2911"/>
  <c r="EI18" i="2911"/>
  <c r="BM18" i="2911"/>
  <c r="BI18" i="2911"/>
  <c r="FV3" i="2911"/>
  <c r="CZ3" i="2911"/>
  <c r="BE2" i="2911"/>
  <c r="K12" i="2911"/>
  <c r="D2" i="2911"/>
  <c r="BP7" i="2911"/>
  <c r="AT14" i="2911"/>
  <c r="BF3" i="2911"/>
  <c r="P11" i="2911"/>
  <c r="D16" i="2911"/>
  <c r="EA18" i="2911"/>
  <c r="DJ4" i="2911"/>
  <c r="IV12" i="2911"/>
  <c r="CP13" i="2911"/>
  <c r="FE6" i="2911"/>
  <c r="GB9" i="2911"/>
  <c r="HA2" i="2911"/>
  <c r="I10" i="2911"/>
  <c r="Z18" i="2911"/>
  <c r="HR11" i="2911"/>
  <c r="DN19" i="2911"/>
  <c r="HZ14" i="2911"/>
  <c r="EZ18" i="2911"/>
  <c r="DH19" i="2911"/>
  <c r="DZ7" i="2911"/>
  <c r="CJ12" i="2911"/>
  <c r="DJ13" i="2911"/>
  <c r="CZ16" i="2911"/>
  <c r="HS14" i="2911"/>
  <c r="BY9" i="2911"/>
  <c r="CS17" i="2911"/>
  <c r="EX2" i="2911"/>
  <c r="HV10" i="2911"/>
  <c r="AJ10" i="2911"/>
  <c r="IQ18" i="2911"/>
  <c r="FU18" i="2911"/>
  <c r="ER18" i="2911"/>
  <c r="GU3" i="2911"/>
  <c r="BS3" i="2911"/>
  <c r="AZ3" i="2911"/>
  <c r="GC11" i="2911"/>
  <c r="BJ11" i="2911"/>
  <c r="X11" i="2911"/>
  <c r="GY19" i="2911"/>
  <c r="DF19" i="2911"/>
  <c r="V19" i="2911"/>
  <c r="HX4" i="2911"/>
  <c r="DD4" i="2911"/>
  <c r="HY7" i="2911"/>
  <c r="CM7" i="2911"/>
  <c r="GX8" i="2911"/>
  <c r="CI8" i="2911"/>
  <c r="GK12" i="2911"/>
  <c r="FO5" i="2911"/>
  <c r="X13" i="2911"/>
  <c r="ID16" i="2911"/>
  <c r="AA6" i="2911"/>
  <c r="GD9" i="2911"/>
  <c r="GJ17" i="2911"/>
  <c r="IU10" i="2911"/>
  <c r="IF18" i="2911"/>
  <c r="S18" i="2911"/>
  <c r="FZ3" i="2911"/>
  <c r="CE11" i="2911"/>
  <c r="EX19" i="2911"/>
  <c r="EF19" i="2911"/>
  <c r="HJ4" i="2911"/>
  <c r="CV4" i="2911"/>
  <c r="IG7" i="2911"/>
  <c r="BG7" i="2911"/>
  <c r="HR8" i="2911"/>
  <c r="BY8" i="2911"/>
  <c r="GT12" i="2911"/>
  <c r="BH12" i="2911"/>
  <c r="GY5" i="2911"/>
  <c r="BS5" i="2911"/>
  <c r="IJ13" i="2911"/>
  <c r="BX13" i="2911"/>
  <c r="GK15" i="2911"/>
  <c r="BG15" i="2911"/>
  <c r="GP16" i="2911"/>
  <c r="AN16" i="2911"/>
  <c r="HB6" i="2911"/>
  <c r="BB6" i="2911"/>
  <c r="GD14" i="2911"/>
  <c r="CY14" i="2911"/>
  <c r="GE9" i="2911"/>
  <c r="DB9" i="2911"/>
  <c r="GE17" i="2911"/>
  <c r="CG17" i="2911"/>
  <c r="GQ2" i="2911"/>
  <c r="EJ2" i="2911"/>
  <c r="GW10" i="2911"/>
  <c r="CY10" i="2911"/>
  <c r="AK10" i="2911"/>
  <c r="GY18" i="2911"/>
  <c r="DP18" i="2911"/>
  <c r="GM18" i="2911"/>
  <c r="B18" i="2911"/>
  <c r="GA3" i="2911"/>
  <c r="ED3" i="2911"/>
  <c r="DI3" i="2911"/>
  <c r="IP11" i="2911"/>
  <c r="DU11" i="2911"/>
  <c r="BX11" i="2911"/>
  <c r="Z11" i="2911"/>
  <c r="IR19" i="2911"/>
  <c r="EN19" i="2911"/>
  <c r="AO19" i="2911"/>
  <c r="R19" i="2911"/>
  <c r="GW4" i="2911"/>
  <c r="CC4" i="2911"/>
  <c r="GS7" i="2911"/>
  <c r="AQ7" i="2911"/>
  <c r="HF8" i="2911"/>
  <c r="BD8" i="2911"/>
  <c r="GD12" i="2911"/>
  <c r="AR12" i="2911"/>
  <c r="GE5" i="2911"/>
  <c r="BE5" i="2911"/>
  <c r="L12" i="2911"/>
  <c r="J15" i="2911"/>
  <c r="BV10" i="2911"/>
  <c r="FS12" i="2911"/>
  <c r="FT17" i="2911"/>
  <c r="BM11" i="2911"/>
  <c r="EO19" i="2911"/>
  <c r="EZ14" i="2911"/>
  <c r="CH3" i="2911"/>
  <c r="AE4" i="2911"/>
  <c r="FT12" i="2911"/>
  <c r="GR15" i="2911"/>
  <c r="HP6" i="2911"/>
  <c r="BK9" i="2911"/>
  <c r="BX2" i="2911"/>
  <c r="HN18" i="2911"/>
  <c r="GY3" i="2911"/>
  <c r="HL11" i="2911"/>
  <c r="FU5" i="2911"/>
  <c r="FD9" i="2911"/>
  <c r="IN3" i="2911"/>
  <c r="BZ4" i="2911"/>
  <c r="AR7" i="2911"/>
  <c r="AE12" i="2911"/>
  <c r="BP13" i="2911"/>
  <c r="AA16" i="2911"/>
  <c r="P14" i="2911"/>
  <c r="G9" i="2911"/>
  <c r="BK17" i="2911"/>
  <c r="EQ2" i="2911"/>
  <c r="IS10" i="2911"/>
  <c r="ET10" i="2911"/>
  <c r="HT18" i="2911"/>
  <c r="DZ18" i="2911"/>
  <c r="U18" i="2911"/>
  <c r="EM3" i="2911"/>
  <c r="BR3" i="2911"/>
  <c r="HG3" i="2911"/>
  <c r="GR11" i="2911"/>
  <c r="DA11" i="2911"/>
  <c r="AR11" i="2911"/>
  <c r="FT19" i="2911"/>
  <c r="CD19" i="2911"/>
  <c r="BI19" i="2911"/>
  <c r="IE4" i="2911"/>
  <c r="AT4" i="2911"/>
  <c r="FJ7" i="2911"/>
  <c r="AF7" i="2911"/>
  <c r="EQ8" i="2911"/>
  <c r="AC8" i="2911"/>
  <c r="FY12" i="2911"/>
  <c r="HI5" i="2911"/>
  <c r="DA13" i="2911"/>
  <c r="CN16" i="2911"/>
  <c r="E6" i="2911"/>
  <c r="HF9" i="2911"/>
  <c r="CB17" i="2911"/>
  <c r="EP10" i="2911"/>
  <c r="GW18" i="2911"/>
  <c r="AQ18" i="2911"/>
  <c r="V3" i="2911"/>
  <c r="FH11" i="2911"/>
  <c r="FL19" i="2911"/>
  <c r="GX4" i="2911"/>
  <c r="FX4" i="2911"/>
  <c r="EN4" i="2911"/>
  <c r="FW7" i="2911"/>
  <c r="CP7" i="2911"/>
  <c r="FT8" i="2911"/>
  <c r="DB8" i="2911"/>
  <c r="ER12" i="2911"/>
  <c r="CQ12" i="2911"/>
  <c r="GT5" i="2911"/>
  <c r="N5" i="2911"/>
  <c r="GD13" i="2911"/>
  <c r="AX13" i="2911"/>
  <c r="FO15" i="2911"/>
  <c r="DP15" i="2911"/>
  <c r="FT16" i="2911"/>
  <c r="BE16" i="2911"/>
  <c r="FJ6" i="2911"/>
  <c r="BW6" i="2911"/>
  <c r="EL14" i="2911"/>
  <c r="CZ14" i="2911"/>
  <c r="FI9" i="2911"/>
  <c r="R9" i="2911"/>
  <c r="FI17" i="2911"/>
  <c r="R17" i="2911"/>
  <c r="FA2" i="2911"/>
  <c r="O2" i="2911"/>
  <c r="HT10" i="2911"/>
  <c r="CV10" i="2911"/>
  <c r="U10" i="2911"/>
  <c r="IK18" i="2911"/>
  <c r="DU18" i="2911"/>
  <c r="AN18" i="2911"/>
  <c r="CY18" i="2911"/>
  <c r="IK3" i="2911"/>
  <c r="DG3" i="2911"/>
  <c r="HC3" i="2911"/>
  <c r="IC11" i="2911"/>
  <c r="EJ11" i="2911"/>
  <c r="DV11" i="2911"/>
  <c r="AN11" i="2911"/>
  <c r="HA19" i="2911"/>
  <c r="DM19" i="2911"/>
  <c r="BJ19" i="2911"/>
  <c r="M19" i="2911"/>
  <c r="FH4" i="2911"/>
  <c r="BX4" i="2911"/>
  <c r="FG7" i="2911"/>
  <c r="BL7" i="2911"/>
  <c r="FD8" i="2911"/>
  <c r="BJ8" i="2911"/>
  <c r="IT12" i="2911"/>
  <c r="AD12" i="2911"/>
  <c r="FZ5" i="2911"/>
  <c r="CI5" i="2911"/>
  <c r="FM13" i="2911"/>
  <c r="S13" i="2911"/>
  <c r="EY15" i="2911"/>
  <c r="CE15" i="2911"/>
  <c r="FD16" i="2911"/>
  <c r="Z16" i="2911"/>
  <c r="ET6" i="2911"/>
  <c r="BP6" i="2911"/>
  <c r="HF14" i="2911"/>
  <c r="CK14" i="2911"/>
  <c r="ES9" i="2911"/>
  <c r="B9" i="2911"/>
  <c r="ES17" i="2911"/>
  <c r="B17" i="2911"/>
  <c r="EK2" i="2911"/>
  <c r="EG2" i="2911"/>
  <c r="HK10" i="2911"/>
  <c r="CF10" i="2911"/>
  <c r="M10" i="2911"/>
  <c r="IC18" i="2911"/>
  <c r="DM18" i="2911"/>
  <c r="AL18" i="2911"/>
  <c r="CG18" i="2911"/>
  <c r="HZ3" i="2911"/>
  <c r="CP3" i="2911"/>
  <c r="FY13" i="2911"/>
  <c r="CO16" i="2911"/>
  <c r="AC10" i="2911"/>
  <c r="BQ12" i="2911"/>
  <c r="FO17" i="2911"/>
  <c r="J11" i="2911"/>
  <c r="AL19" i="2911"/>
  <c r="BX14" i="2911"/>
  <c r="DL3" i="2911"/>
  <c r="IU7" i="2911"/>
  <c r="AQ12" i="2911"/>
  <c r="DY15" i="2911"/>
  <c r="BG6" i="2911"/>
  <c r="CV9" i="2911"/>
  <c r="DY2" i="2911"/>
  <c r="IB18" i="2911"/>
  <c r="EU3" i="2911"/>
  <c r="FO11" i="2911"/>
  <c r="BO5" i="2911"/>
  <c r="AM9" i="2911"/>
  <c r="FL3" i="2911"/>
  <c r="J4" i="2911"/>
  <c r="BS7" i="2911"/>
  <c r="E12" i="2911"/>
  <c r="Q13" i="2911"/>
  <c r="Y16" i="2911"/>
  <c r="AM14" i="2911"/>
  <c r="AL9" i="2911"/>
  <c r="EE17" i="2911"/>
  <c r="DS2" i="2911"/>
  <c r="GJ10" i="2911"/>
  <c r="G10" i="2911"/>
  <c r="HE18" i="2911"/>
  <c r="CM18" i="2911"/>
  <c r="EL18" i="2911"/>
  <c r="FT3" i="2911"/>
  <c r="CW3" i="2911"/>
  <c r="IA11" i="2911"/>
  <c r="DB11" i="2911"/>
  <c r="BH11" i="2911"/>
  <c r="IA19" i="2911"/>
  <c r="EK19" i="2911"/>
  <c r="EQ19" i="2911"/>
  <c r="AV19" i="2911"/>
  <c r="HK4" i="2911"/>
  <c r="CF4" i="2911"/>
  <c r="HB7" i="2911"/>
  <c r="BT7" i="2911"/>
  <c r="FU8" i="2911"/>
  <c r="B8" i="2911"/>
  <c r="EF12" i="2911"/>
  <c r="BC5" i="2911"/>
  <c r="IF15" i="2911"/>
  <c r="DP16" i="2911"/>
  <c r="HK14" i="2911"/>
  <c r="DJ9" i="2911"/>
  <c r="HV2" i="2911"/>
  <c r="FL10" i="2911"/>
  <c r="FY18" i="2911"/>
  <c r="IR3" i="2911"/>
  <c r="DX3" i="2911"/>
  <c r="CQ11" i="2911"/>
  <c r="FE19" i="2911"/>
  <c r="GG4" i="2911"/>
  <c r="GJ4" i="2911"/>
  <c r="AI4" i="2911"/>
  <c r="FP7" i="2911"/>
  <c r="R7" i="2911"/>
  <c r="HA8" i="2911"/>
  <c r="O8" i="2911"/>
  <c r="HD12" i="2911"/>
  <c r="S12" i="2911"/>
  <c r="FW5" i="2911"/>
  <c r="BP5" i="2911"/>
  <c r="EH13" i="2911"/>
  <c r="BJ13" i="2911"/>
  <c r="EZ15" i="2911"/>
  <c r="R15" i="2911"/>
  <c r="EW16" i="2911"/>
  <c r="CP16" i="2911"/>
  <c r="FC6" i="2911"/>
  <c r="U6" i="2911"/>
  <c r="EM14" i="2911"/>
  <c r="AP14" i="2911"/>
  <c r="ET9" i="2911"/>
  <c r="AB9" i="2911"/>
  <c r="EL17" i="2911"/>
  <c r="T17" i="2911"/>
  <c r="HJ2" i="2911"/>
  <c r="AL2" i="2911"/>
  <c r="EK10" i="2911"/>
  <c r="BP10" i="2911"/>
  <c r="AA10" i="2911"/>
  <c r="GD18" i="2911"/>
  <c r="DF18" i="2911"/>
  <c r="BA18" i="2911"/>
  <c r="HN3" i="2911"/>
  <c r="EN3" i="2911"/>
  <c r="EK3" i="2911"/>
  <c r="BO3" i="2911"/>
  <c r="HY11" i="2911"/>
  <c r="FJ11" i="2911"/>
  <c r="EQ11" i="2911"/>
  <c r="DD11" i="2911"/>
  <c r="HU19" i="2911"/>
  <c r="DJ19" i="2911"/>
  <c r="CO19" i="2911"/>
  <c r="K19" i="2911"/>
  <c r="FD4" i="2911"/>
  <c r="S4" i="2911"/>
  <c r="EZ7" i="2911"/>
  <c r="DS7" i="2911"/>
  <c r="FK8" i="2911"/>
  <c r="DY8" i="2911"/>
  <c r="EW12" i="2911"/>
  <c r="BX12" i="2911"/>
  <c r="EE5" i="2911"/>
  <c r="AU5" i="2911"/>
  <c r="EX6" i="2911"/>
  <c r="CW14" i="2911"/>
  <c r="BH18" i="2911"/>
  <c r="HW13" i="2911"/>
  <c r="HA10" i="2911"/>
  <c r="GL19" i="2911"/>
  <c r="EM12" i="2911"/>
  <c r="FK17" i="2911"/>
  <c r="BF11" i="2911"/>
  <c r="ES7" i="2911"/>
  <c r="HS5" i="2911"/>
  <c r="AD15" i="2911"/>
  <c r="IG14" i="2911"/>
  <c r="HB17" i="2911"/>
  <c r="IL10" i="2911"/>
  <c r="GS18" i="2911"/>
  <c r="HK3" i="2911"/>
  <c r="BP11" i="2911"/>
  <c r="N13" i="2911"/>
  <c r="DN17" i="2911"/>
  <c r="K3" i="2911"/>
  <c r="DB4" i="2911"/>
  <c r="DN8" i="2911"/>
  <c r="GA5" i="2911"/>
  <c r="DQ15" i="2911"/>
  <c r="DT6" i="2911"/>
  <c r="D14" i="2911"/>
  <c r="F9" i="2911"/>
  <c r="W17" i="2911"/>
  <c r="EZ2" i="2911"/>
  <c r="EX10" i="2911"/>
  <c r="DD10" i="2911"/>
  <c r="GQ18" i="2911"/>
  <c r="FE18" i="2911"/>
  <c r="BY18" i="2911"/>
  <c r="EC3" i="2911"/>
  <c r="AM3" i="2911"/>
  <c r="HD11" i="2911"/>
  <c r="ET11" i="2911"/>
  <c r="BQ11" i="2911"/>
  <c r="HL19" i="2911"/>
  <c r="ET19" i="2911"/>
  <c r="EY19" i="2911"/>
  <c r="O19" i="2911"/>
  <c r="EU4" i="2911"/>
  <c r="AN4" i="2911"/>
  <c r="FS7" i="2911"/>
  <c r="V7" i="2911"/>
  <c r="GK8" i="2911"/>
  <c r="C8" i="2911"/>
  <c r="BT12" i="2911"/>
  <c r="BJ5" i="2911"/>
  <c r="DA15" i="2911"/>
  <c r="K16" i="2911"/>
  <c r="GJ14" i="2911"/>
  <c r="BN9" i="2911"/>
  <c r="GU2" i="2911"/>
  <c r="GU10" i="2911"/>
  <c r="FW18" i="2911"/>
  <c r="GQ3" i="2911"/>
  <c r="IT11" i="2911"/>
  <c r="CZ11" i="2911"/>
  <c r="CB19" i="2911"/>
  <c r="EY4" i="2911"/>
  <c r="DG4" i="2911"/>
  <c r="M4" i="2911"/>
  <c r="DA7" i="2911"/>
  <c r="AB7" i="2911"/>
  <c r="DK8" i="2911"/>
  <c r="X8" i="2911"/>
  <c r="DG12" i="2911"/>
  <c r="CS12" i="2911"/>
  <c r="DT5" i="2911"/>
  <c r="T5" i="2911"/>
  <c r="EB13" i="2911"/>
  <c r="AU13" i="2911"/>
  <c r="DN15" i="2911"/>
  <c r="CM15" i="2911"/>
  <c r="EK16" i="2911"/>
  <c r="AO16" i="2911"/>
  <c r="DI6" i="2911"/>
  <c r="CE6" i="2911"/>
  <c r="ES14" i="2911"/>
  <c r="AH14" i="2911"/>
  <c r="EF9" i="2911"/>
  <c r="DM9" i="2911"/>
  <c r="EX17" i="2911"/>
  <c r="BR17" i="2911"/>
  <c r="EF2" i="2911"/>
  <c r="BV2" i="2911"/>
  <c r="FS10" i="2911"/>
  <c r="CI10" i="2911"/>
  <c r="K10" i="2911"/>
  <c r="GR18" i="2911"/>
  <c r="CH18" i="2911"/>
  <c r="AU18" i="2911"/>
  <c r="HP3" i="2911"/>
  <c r="EQ3" i="2911"/>
  <c r="GS3" i="2911"/>
  <c r="W3" i="2911"/>
  <c r="GF11" i="2911"/>
  <c r="DS11" i="2911"/>
  <c r="BC11" i="2911"/>
  <c r="CA11" i="2911"/>
  <c r="IP19" i="2911"/>
  <c r="FQ19" i="2911"/>
  <c r="FR19" i="2911"/>
  <c r="AR19" i="2911"/>
  <c r="GR4" i="2911"/>
  <c r="CK4" i="2911"/>
  <c r="FK7" i="2911"/>
  <c r="L7" i="2911"/>
  <c r="HZ8" i="2911"/>
  <c r="BQ8" i="2911"/>
  <c r="HN12" i="2911"/>
  <c r="ED12" i="2911"/>
  <c r="DD5" i="2911"/>
  <c r="D5" i="2911"/>
  <c r="DL13" i="2911"/>
  <c r="Z13" i="2911"/>
  <c r="GO15" i="2911"/>
  <c r="C15" i="2911"/>
  <c r="DS16" i="2911"/>
  <c r="AD16" i="2911"/>
  <c r="GG6" i="2911"/>
  <c r="GT15" i="2911"/>
  <c r="FT2" i="2911"/>
  <c r="GZ17" i="2911"/>
  <c r="AO3" i="2911"/>
  <c r="FO16" i="2911"/>
  <c r="CZ18" i="2911"/>
  <c r="H19" i="2911"/>
  <c r="GN13" i="2911"/>
  <c r="DX10" i="2911"/>
  <c r="GH19" i="2911"/>
  <c r="IC8" i="2911"/>
  <c r="P5" i="2911"/>
  <c r="DI16" i="2911"/>
  <c r="FX14" i="2911"/>
  <c r="BY17" i="2911"/>
  <c r="EV10" i="2911"/>
  <c r="FL18" i="2911"/>
  <c r="Q3" i="2911"/>
  <c r="EZ19" i="2911"/>
  <c r="EI16" i="2911"/>
  <c r="IN10" i="2911"/>
  <c r="BD11" i="2911"/>
  <c r="W4" i="2911"/>
  <c r="S8" i="2911"/>
  <c r="H5" i="2911"/>
  <c r="V15" i="2911"/>
  <c r="BM6" i="2911"/>
  <c r="DK9" i="2911"/>
  <c r="FD17" i="2911"/>
  <c r="AX17" i="2911"/>
  <c r="L2" i="2911"/>
  <c r="ED10" i="2911"/>
  <c r="AF10" i="2911"/>
  <c r="HA18" i="2911"/>
  <c r="AX18" i="2911"/>
  <c r="IV3" i="2911"/>
  <c r="FA3" i="2911"/>
  <c r="AH3" i="2911"/>
  <c r="HT11" i="2911"/>
  <c r="CM11" i="2911"/>
  <c r="FM11" i="2911"/>
  <c r="GI19" i="2911"/>
  <c r="EA19" i="2911"/>
  <c r="CZ19" i="2911"/>
  <c r="BZ19" i="2911"/>
  <c r="GQ4" i="2911"/>
  <c r="G4" i="2911"/>
  <c r="DC7" i="2911"/>
  <c r="W7" i="2911"/>
  <c r="CF8" i="2911"/>
  <c r="DX8" i="2911"/>
  <c r="BM12" i="2911"/>
  <c r="FH13" i="2911"/>
  <c r="X15" i="2911"/>
  <c r="GX6" i="2911"/>
  <c r="EC14" i="2911"/>
  <c r="IN17" i="2911"/>
  <c r="ET2" i="2911"/>
  <c r="DR10" i="2911"/>
  <c r="FD18" i="2911"/>
  <c r="FW3" i="2911"/>
  <c r="IJ11" i="2911"/>
  <c r="CH11" i="2911"/>
  <c r="BA19" i="2911"/>
  <c r="CI4" i="2911"/>
  <c r="CW4" i="2911"/>
  <c r="BK4" i="2911"/>
  <c r="FD7" i="2911"/>
  <c r="CS7" i="2911"/>
  <c r="DP8" i="2911"/>
  <c r="BI8" i="2911"/>
  <c r="EI12" i="2911"/>
  <c r="B12" i="2911"/>
  <c r="CL5" i="2911"/>
  <c r="BB5" i="2911"/>
  <c r="EM13" i="2911"/>
  <c r="FC13" i="2911"/>
  <c r="DK15" i="2911"/>
  <c r="BP15" i="2911"/>
  <c r="CK16" i="2911"/>
  <c r="CA16" i="2911"/>
  <c r="CA6" i="2911"/>
  <c r="AE6" i="2911"/>
  <c r="CL14" i="2911"/>
  <c r="B14" i="2911"/>
  <c r="EC9" i="2911"/>
  <c r="AX9" i="2911"/>
  <c r="DZ17" i="2911"/>
  <c r="E17" i="2911"/>
  <c r="EW2" i="2911"/>
  <c r="AK2" i="2911"/>
  <c r="GG10" i="2911"/>
  <c r="CW10" i="2911"/>
  <c r="J10" i="2911"/>
  <c r="FF18" i="2911"/>
  <c r="DS18" i="2911"/>
  <c r="DA18" i="2911"/>
  <c r="HJ3" i="2911"/>
  <c r="DK3" i="2911"/>
  <c r="BI3" i="2911"/>
  <c r="BD3" i="2911"/>
  <c r="FS11" i="2911"/>
  <c r="EK11" i="2911"/>
  <c r="Y11" i="2911"/>
  <c r="CP11" i="2911"/>
  <c r="IC19" i="2911"/>
  <c r="DX19" i="2911"/>
  <c r="AG19" i="2911"/>
  <c r="BV19" i="2911"/>
  <c r="CG4" i="2911"/>
  <c r="E4" i="2911"/>
  <c r="DE7" i="2911"/>
  <c r="K7" i="2911"/>
  <c r="DA8" i="2911"/>
  <c r="I8" i="2911"/>
  <c r="CW12" i="2911"/>
  <c r="CD12" i="2911"/>
  <c r="BV5" i="2911"/>
  <c r="A5" i="2911"/>
  <c r="DQ13" i="2911"/>
  <c r="G13" i="2911"/>
  <c r="CZ15" i="2911"/>
  <c r="AA15" i="2911"/>
  <c r="BU16" i="2911"/>
  <c r="F16" i="2911"/>
  <c r="FY6" i="2911"/>
  <c r="J6" i="2911"/>
  <c r="CJ13" i="2911"/>
  <c r="U17" i="2911"/>
  <c r="HO16" i="2911"/>
  <c r="FM18" i="2911"/>
  <c r="GY2" i="2911"/>
  <c r="BY5" i="2911"/>
  <c r="GT17" i="2911"/>
  <c r="BJ10" i="2911"/>
  <c r="DB3" i="2911"/>
  <c r="V11" i="2911"/>
  <c r="AA19" i="2911"/>
  <c r="AO7" i="2911"/>
  <c r="IT13" i="2911"/>
  <c r="AA9" i="2911"/>
  <c r="GE3" i="2911"/>
  <c r="EG4" i="2911"/>
  <c r="D7" i="2911"/>
  <c r="M12" i="2911"/>
  <c r="Y13" i="2911"/>
  <c r="DA16" i="2911"/>
  <c r="BN14" i="2911"/>
  <c r="BT17" i="2911"/>
  <c r="CT10" i="2911"/>
  <c r="BK18" i="2911"/>
  <c r="AF3" i="2911"/>
  <c r="BG11" i="2911"/>
  <c r="BO19" i="2911"/>
  <c r="Q7" i="2911"/>
  <c r="DM12" i="2911"/>
  <c r="DE13" i="2911"/>
  <c r="GL15" i="2911"/>
  <c r="ET16" i="2911"/>
  <c r="CT6" i="2911"/>
  <c r="FY14" i="2911"/>
  <c r="BE14" i="2911"/>
  <c r="CQ9" i="2911"/>
  <c r="GN17" i="2911"/>
  <c r="K17" i="2911"/>
  <c r="DL2" i="2911"/>
  <c r="IJ10" i="2911"/>
  <c r="CR10" i="2911"/>
  <c r="IL18" i="2911"/>
  <c r="CX18" i="2911"/>
  <c r="AT18" i="2911"/>
  <c r="IH3" i="2911"/>
  <c r="EE3" i="2911"/>
  <c r="AY3" i="2911"/>
  <c r="HE11" i="2911"/>
  <c r="EY11" i="2911"/>
  <c r="CV11" i="2911"/>
  <c r="DL7" i="2911"/>
  <c r="A12" i="2911"/>
  <c r="AZ13" i="2911"/>
  <c r="CR16" i="2911"/>
  <c r="DE14" i="2911"/>
  <c r="Z17" i="2911"/>
  <c r="DI10" i="2911"/>
  <c r="BC18" i="2911"/>
  <c r="J3" i="2911"/>
  <c r="AJ11" i="2911"/>
  <c r="FZ19" i="2911"/>
  <c r="IL11" i="2911"/>
  <c r="DT19" i="2911"/>
  <c r="BL15" i="2911"/>
  <c r="V17" i="2911"/>
  <c r="BB3" i="2911"/>
  <c r="AC19" i="2911"/>
  <c r="DK13" i="2911"/>
  <c r="HJ10" i="2911"/>
  <c r="DK19" i="2911"/>
  <c r="IC16" i="2911"/>
  <c r="BW18" i="2911"/>
  <c r="HG4" i="2911"/>
  <c r="CT8" i="2911"/>
  <c r="DH5" i="2911"/>
  <c r="CW15" i="2911"/>
  <c r="EE6" i="2911"/>
  <c r="ED9" i="2911"/>
  <c r="EU2" i="2911"/>
  <c r="HY18" i="2911"/>
  <c r="GZ3" i="2911"/>
  <c r="AH11" i="2911"/>
  <c r="DS6" i="2911"/>
  <c r="CW18" i="2911"/>
  <c r="CT19" i="2911"/>
  <c r="DF6" i="2911"/>
  <c r="EB3" i="2911"/>
  <c r="CZ12" i="2911"/>
  <c r="CT17" i="2911"/>
  <c r="BN11" i="2911"/>
  <c r="Z7" i="2911"/>
  <c r="AA12" i="2911"/>
  <c r="BU13" i="2911"/>
  <c r="DG16" i="2911"/>
  <c r="AR14" i="2911"/>
  <c r="AB17" i="2911"/>
  <c r="CK10" i="2911"/>
  <c r="CL18" i="2911"/>
  <c r="BT3" i="2911"/>
  <c r="R11" i="2911"/>
  <c r="BT19" i="2911"/>
  <c r="IV7" i="2911"/>
  <c r="DW12" i="2911"/>
  <c r="HF15" i="2911"/>
  <c r="CO9" i="2911"/>
  <c r="IF3" i="2911"/>
  <c r="EJ19" i="2911"/>
  <c r="HD5" i="2911"/>
  <c r="BX9" i="2911"/>
  <c r="DG11" i="2911"/>
  <c r="BV12" i="2911"/>
  <c r="DD17" i="2911"/>
  <c r="AI11" i="2911"/>
  <c r="BO7" i="2911"/>
  <c r="BP12" i="2911"/>
  <c r="BZ13" i="2911"/>
  <c r="AV16" i="2911"/>
  <c r="DO14" i="2911"/>
  <c r="CR17" i="2911"/>
  <c r="DL10" i="2911"/>
  <c r="CQ18" i="2911"/>
  <c r="F3" i="2911"/>
  <c r="GK11" i="2911"/>
  <c r="ED19" i="2911"/>
  <c r="C4" i="2911"/>
  <c r="AJ8" i="2911"/>
  <c r="BF5" i="2911"/>
  <c r="AZ15" i="2911"/>
  <c r="L6" i="2911"/>
  <c r="K9" i="2911"/>
  <c r="AF2" i="2911"/>
  <c r="FV18" i="2911"/>
  <c r="EA3" i="2911"/>
  <c r="BW11" i="2911"/>
  <c r="EP19" i="2911"/>
  <c r="X19" i="2911"/>
  <c r="BP2" i="2911"/>
  <c r="CO11" i="2911"/>
  <c r="GP13" i="2911"/>
  <c r="FB2" i="2911"/>
  <c r="F11" i="2911"/>
  <c r="AN12" i="2911"/>
  <c r="DE16" i="2911"/>
  <c r="BB17" i="2911"/>
  <c r="EB10" i="2911"/>
  <c r="BP3" i="2911"/>
  <c r="O11" i="2911"/>
  <c r="HM7" i="2911"/>
  <c r="FH12" i="2911"/>
  <c r="GI16" i="2911"/>
  <c r="FB14" i="2911"/>
  <c r="GQ10" i="2911"/>
  <c r="EG18" i="2911"/>
  <c r="EO11" i="2911"/>
  <c r="IS19" i="2911"/>
  <c r="GB10" i="2911"/>
  <c r="HG19" i="2911"/>
  <c r="IE10" i="2911"/>
  <c r="BL3" i="2911"/>
  <c r="HI14" i="2911"/>
  <c r="DC18" i="2911"/>
  <c r="HD9" i="2911"/>
  <c r="AT16" i="2911"/>
  <c r="AX10" i="2911"/>
  <c r="CU16" i="2911"/>
  <c r="BF18" i="2911"/>
  <c r="DN10" i="2911"/>
  <c r="U5" i="2911"/>
  <c r="FV17" i="2911"/>
  <c r="AT10" i="2911"/>
  <c r="FO3" i="2911"/>
  <c r="AE11" i="2911"/>
  <c r="AF19" i="2911"/>
  <c r="IB8" i="2911"/>
  <c r="EQ13" i="2911"/>
  <c r="GQ17" i="2911"/>
  <c r="FJ3" i="2911"/>
  <c r="HM4" i="2911"/>
  <c r="HQ8" i="2911"/>
  <c r="HR5" i="2911"/>
  <c r="HL15" i="2911"/>
  <c r="HO6" i="2911"/>
  <c r="HN9" i="2911"/>
  <c r="IP2" i="2911"/>
  <c r="BU10" i="2911"/>
  <c r="CJ18" i="2911"/>
  <c r="HV11" i="2911"/>
  <c r="HV19" i="2911"/>
  <c r="IJ4" i="2911"/>
  <c r="IN8" i="2911"/>
  <c r="IG5" i="2911"/>
  <c r="CE13" i="2911"/>
  <c r="CX15" i="2911"/>
  <c r="CD16" i="2911"/>
  <c r="CF6" i="2911"/>
  <c r="DY14" i="2911"/>
  <c r="O14" i="2911"/>
  <c r="BQ9" i="2911"/>
  <c r="DX17" i="2911"/>
  <c r="A17" i="2911"/>
  <c r="BN2" i="2911"/>
  <c r="HL10" i="2911"/>
  <c r="CS10" i="2911"/>
  <c r="IR18" i="2911"/>
  <c r="BZ18" i="2911"/>
  <c r="BV18" i="2911"/>
  <c r="FS3" i="2911"/>
  <c r="GC3" i="2911"/>
  <c r="O3" i="2911"/>
  <c r="IO11" i="2911"/>
  <c r="DK11" i="2911"/>
  <c r="AU11" i="2911"/>
  <c r="EB7" i="2911"/>
  <c r="D12" i="2911"/>
  <c r="I13" i="2911"/>
  <c r="CM16" i="2911"/>
  <c r="J14" i="2911"/>
  <c r="AO17" i="2911"/>
  <c r="DC10" i="2911"/>
  <c r="BB18" i="2911"/>
  <c r="P3" i="2911"/>
  <c r="BZ11" i="2911"/>
  <c r="BE19" i="2911"/>
  <c r="GS11" i="2911"/>
  <c r="AW19" i="2911"/>
  <c r="FB16" i="2911"/>
  <c r="BT2" i="2911"/>
  <c r="IV11" i="2911"/>
  <c r="EK4" i="2911"/>
  <c r="BN15" i="2911"/>
  <c r="AU10" i="2911"/>
  <c r="BN19" i="2911"/>
  <c r="HY6" i="2911"/>
  <c r="IJ3" i="2911"/>
  <c r="DU4" i="2911"/>
  <c r="AE8" i="2911"/>
  <c r="CP5" i="2911"/>
  <c r="AH15" i="2911"/>
  <c r="AW6" i="2911"/>
  <c r="BB9" i="2911"/>
  <c r="BC2" i="2911"/>
  <c r="GZ18" i="2911"/>
  <c r="FD3" i="2911"/>
  <c r="HO19" i="2911"/>
  <c r="HH9" i="2911"/>
  <c r="IS3" i="2911"/>
  <c r="BL4" i="2911"/>
  <c r="AU14" i="2911"/>
  <c r="GN11" i="2911"/>
  <c r="FJ5" i="2911"/>
  <c r="AO2" i="2911"/>
  <c r="GR19" i="2911"/>
  <c r="HY8" i="2911"/>
  <c r="HZ5" i="2911"/>
  <c r="HT15" i="2911"/>
  <c r="HW6" i="2911"/>
  <c r="HV9" i="2911"/>
  <c r="HS2" i="2911"/>
  <c r="DB10" i="2911"/>
  <c r="CO18" i="2911"/>
  <c r="ID11" i="2911"/>
  <c r="DF11" i="2911"/>
  <c r="GS19" i="2911"/>
  <c r="DQ7" i="2911"/>
  <c r="AT12" i="2911"/>
  <c r="BW15" i="2911"/>
  <c r="FX17" i="2911"/>
  <c r="EF3" i="2911"/>
  <c r="AI19" i="2911"/>
  <c r="AB5" i="2911"/>
  <c r="N17" i="2911"/>
  <c r="DI11" i="2911"/>
  <c r="EN5" i="2911"/>
  <c r="DR2" i="2911"/>
  <c r="HE19" i="2911"/>
  <c r="G7" i="2911"/>
  <c r="AJ13" i="2911"/>
  <c r="BP14" i="2911"/>
  <c r="BO18" i="2911"/>
  <c r="CC19" i="2911"/>
  <c r="GO13" i="2911"/>
  <c r="FY17" i="2911"/>
  <c r="BU3" i="2911"/>
  <c r="EB19" i="2911"/>
  <c r="GY15" i="2911"/>
  <c r="IO19" i="2911"/>
  <c r="HX3" i="2911"/>
  <c r="GB14" i="2911"/>
  <c r="CE10" i="2911"/>
  <c r="IT19" i="2911"/>
  <c r="IA14" i="2911"/>
  <c r="CS3" i="2911"/>
  <c r="HJ11" i="2911"/>
  <c r="DD15" i="2911"/>
  <c r="P17" i="2911"/>
  <c r="GG18" i="2911"/>
  <c r="I3" i="2911"/>
  <c r="HQ19" i="2911"/>
  <c r="FY4" i="2911"/>
  <c r="GE8" i="2911"/>
  <c r="EK15" i="2911"/>
  <c r="EC2" i="2911"/>
  <c r="GV11" i="2911"/>
  <c r="EF4" i="2911"/>
  <c r="EK8" i="2911"/>
  <c r="EF5" i="2911"/>
  <c r="CY15" i="2911"/>
  <c r="DO6" i="2911"/>
  <c r="HK9" i="2911"/>
  <c r="FU2" i="2911"/>
  <c r="P10" i="2911"/>
  <c r="HL3" i="2911"/>
  <c r="FV11" i="2911"/>
  <c r="HC19" i="2911"/>
  <c r="DP4" i="2911"/>
  <c r="DT8" i="2911"/>
  <c r="DK5" i="2911"/>
  <c r="BE13" i="2911"/>
  <c r="AQ15" i="2911"/>
  <c r="CW16" i="2911"/>
  <c r="AL6" i="2911"/>
  <c r="ER14" i="2911"/>
  <c r="IK9" i="2911"/>
  <c r="L9" i="2911"/>
  <c r="DY17" i="2911"/>
  <c r="HZ2" i="2911"/>
  <c r="Y2" i="2911"/>
  <c r="FR10" i="2911"/>
  <c r="AS10" i="2911"/>
  <c r="HK18" i="2911"/>
  <c r="EO18" i="2911"/>
  <c r="BS18" i="2911"/>
  <c r="FH3" i="2911"/>
  <c r="BK3" i="2911"/>
  <c r="FE3" i="2911"/>
  <c r="FN11" i="2911"/>
  <c r="DL11" i="2911"/>
  <c r="L11" i="2911"/>
  <c r="GB8" i="2911"/>
  <c r="IJ5" i="2911"/>
  <c r="FW15" i="2911"/>
  <c r="FR6" i="2911"/>
  <c r="FQ9" i="2911"/>
  <c r="FI2" i="2911"/>
  <c r="BA10" i="2911"/>
  <c r="A18" i="2911"/>
  <c r="IK11" i="2911"/>
  <c r="E11" i="2911"/>
  <c r="CP19" i="2911"/>
  <c r="CB11" i="2911"/>
  <c r="Y19" i="2911"/>
  <c r="CQ16" i="2911"/>
  <c r="IA10" i="2911"/>
  <c r="EG11" i="2911"/>
  <c r="AS7" i="2911"/>
  <c r="EM16" i="2911"/>
  <c r="CP18" i="2911"/>
  <c r="GJ7" i="2911"/>
  <c r="GF14" i="2911"/>
  <c r="EL3" i="2911"/>
  <c r="IB7" i="2911"/>
  <c r="IC12" i="2911"/>
  <c r="IH13" i="2911"/>
  <c r="IG16" i="2911"/>
  <c r="IE14" i="2911"/>
  <c r="ID17" i="2911"/>
  <c r="AS2" i="2911"/>
  <c r="GP18" i="2911"/>
  <c r="BE3" i="2911"/>
  <c r="HR19" i="2911"/>
  <c r="AT9" i="2911"/>
  <c r="ET3" i="2911"/>
  <c r="AL12" i="2911"/>
  <c r="GY17" i="2911"/>
  <c r="BK11" i="2911"/>
  <c r="EL13" i="2911"/>
  <c r="EE10" i="2911"/>
  <c r="BB19" i="2911"/>
  <c r="EG8" i="2911"/>
  <c r="HH5" i="2911"/>
  <c r="FH15" i="2911"/>
  <c r="FK6" i="2911"/>
  <c r="FB9" i="2911"/>
  <c r="HK2" i="2911"/>
  <c r="AI10" i="2911"/>
  <c r="HV3" i="2911"/>
  <c r="IR11" i="2911"/>
  <c r="IL19" i="2911"/>
  <c r="AM19" i="2911"/>
  <c r="BA7" i="2911"/>
  <c r="GU5" i="2911"/>
  <c r="HR16" i="2911"/>
  <c r="HT2" i="2911"/>
  <c r="AV3" i="2911"/>
  <c r="IN7" i="2911"/>
  <c r="AI13" i="2911"/>
  <c r="M2" i="2911"/>
  <c r="EU19" i="2911"/>
  <c r="CI13" i="2911"/>
  <c r="EO10" i="2911"/>
  <c r="CK19" i="2911"/>
  <c r="IS8" i="2911"/>
  <c r="GI5" i="2911"/>
  <c r="GS15" i="2911"/>
  <c r="IF6" i="2911"/>
  <c r="GM9" i="2911"/>
  <c r="HB2" i="2911"/>
  <c r="BQ10" i="2911"/>
  <c r="J18" i="2911"/>
  <c r="HO11" i="2911"/>
  <c r="BA11" i="2911"/>
  <c r="DD19" i="2911"/>
  <c r="FY7" i="2911"/>
  <c r="FF12" i="2911"/>
  <c r="FS13" i="2911"/>
  <c r="DM16" i="2911"/>
  <c r="DF14" i="2911"/>
  <c r="ED17" i="2911"/>
  <c r="DH10" i="2911"/>
  <c r="EJ18" i="2911"/>
  <c r="DW3" i="2911"/>
  <c r="AK11" i="2911"/>
  <c r="DR19" i="2911"/>
  <c r="GY12" i="2911"/>
  <c r="HS18" i="2911"/>
  <c r="GJ19" i="2911"/>
  <c r="BT15" i="2911"/>
  <c r="CQ10" i="2911"/>
  <c r="DE19" i="2911"/>
  <c r="FB5" i="2911"/>
  <c r="DA9" i="2911"/>
  <c r="BL10" i="2911"/>
  <c r="IB3" i="2911"/>
  <c r="IN19" i="2911"/>
  <c r="L19" i="2911"/>
  <c r="I12" i="2911"/>
  <c r="BI13" i="2911"/>
  <c r="C14" i="2911"/>
  <c r="AH17" i="2911"/>
  <c r="BG18" i="2911"/>
  <c r="R3" i="2911"/>
  <c r="BW19" i="2911"/>
  <c r="CH16" i="2911"/>
  <c r="U19" i="2911"/>
  <c r="BD16" i="2911"/>
  <c r="AB19" i="2911"/>
  <c r="DG10" i="2911"/>
  <c r="EW19" i="2911"/>
  <c r="DO4" i="2911"/>
  <c r="GM10" i="2911"/>
  <c r="BN18" i="2911"/>
  <c r="S19" i="2911"/>
  <c r="AL14" i="2911"/>
  <c r="AK3" i="2911"/>
  <c r="W11" i="2911"/>
  <c r="L15" i="2911"/>
  <c r="HP2" i="2911"/>
  <c r="GO18" i="2911"/>
  <c r="EY3" i="2911"/>
  <c r="GG19" i="2911"/>
  <c r="GO4" i="2911"/>
  <c r="EJ8" i="2911"/>
  <c r="G15" i="2911"/>
  <c r="CO2" i="2911"/>
  <c r="GB11" i="2911"/>
  <c r="DN4" i="2911"/>
  <c r="CD8" i="2911"/>
  <c r="CX5" i="2911"/>
  <c r="CG15" i="2911"/>
  <c r="CS6" i="2911"/>
  <c r="DZ9" i="2911"/>
  <c r="EE2" i="2911"/>
  <c r="IT18" i="2911"/>
  <c r="GF3" i="2911"/>
  <c r="FX11" i="2911"/>
  <c r="FC19" i="2911"/>
  <c r="DE4" i="2911"/>
  <c r="GA8" i="2911"/>
  <c r="CM5" i="2911"/>
  <c r="T13" i="2911"/>
  <c r="FI15" i="2911"/>
  <c r="BT16" i="2911"/>
  <c r="FP6" i="2911"/>
  <c r="BV14" i="2911"/>
  <c r="HO9" i="2911"/>
  <c r="CF9" i="2911"/>
  <c r="CP17" i="2911"/>
  <c r="IM2" i="2911"/>
  <c r="FM2" i="2911"/>
  <c r="EL10" i="2911"/>
  <c r="Y10" i="2911"/>
  <c r="GJ18" i="2911"/>
  <c r="DB18" i="2911"/>
  <c r="CT18" i="2911"/>
  <c r="DZ3" i="2911"/>
  <c r="AX3" i="2911"/>
  <c r="X3" i="2911"/>
  <c r="FK11" i="2911"/>
  <c r="DY11" i="2911"/>
  <c r="HU4" i="2911"/>
  <c r="DR8" i="2911"/>
  <c r="CT5" i="2911"/>
  <c r="EF15" i="2911"/>
  <c r="CI6" i="2911"/>
  <c r="EJ9" i="2911"/>
  <c r="FR2" i="2911"/>
  <c r="N10" i="2911"/>
  <c r="HQ3" i="2911"/>
  <c r="GA11" i="2911"/>
  <c r="HW19" i="2911"/>
  <c r="AJ19" i="2911"/>
  <c r="Q11" i="2911"/>
  <c r="BQ19" i="2911"/>
  <c r="DY6" i="2911"/>
  <c r="DW10" i="2911"/>
  <c r="CL11" i="2911"/>
  <c r="HE8" i="2911"/>
  <c r="DQ6" i="2911"/>
  <c r="GW3" i="2911"/>
  <c r="AV7" i="2911"/>
  <c r="GV9" i="2911"/>
  <c r="GL11" i="2911"/>
  <c r="GG7" i="2911"/>
  <c r="ES12" i="2911"/>
  <c r="EX13" i="2911"/>
  <c r="FM16" i="2911"/>
  <c r="FC14" i="2911"/>
  <c r="FB17" i="2911"/>
  <c r="FI10" i="2911"/>
  <c r="DV18" i="2911"/>
  <c r="CA3" i="2911"/>
  <c r="ER19" i="2911"/>
  <c r="BP17" i="2911"/>
  <c r="GU11" i="2911"/>
  <c r="DJ5" i="2911"/>
  <c r="HL2" i="2911"/>
  <c r="HN19" i="2911"/>
  <c r="DO15" i="2911"/>
  <c r="HX18" i="2911"/>
  <c r="HQ4" i="2911"/>
  <c r="CL8" i="2911"/>
  <c r="DF5" i="2911"/>
  <c r="CO15" i="2911"/>
  <c r="EA6" i="2911"/>
  <c r="EB9" i="2911"/>
  <c r="EN2" i="2911"/>
  <c r="HQ18" i="2911"/>
  <c r="GN3" i="2911"/>
  <c r="GD11" i="2911"/>
  <c r="IJ19" i="2911"/>
  <c r="CX19" i="2911"/>
  <c r="CX7" i="2911"/>
  <c r="EI5" i="2911"/>
  <c r="CJ16" i="2911"/>
  <c r="AC2" i="2911"/>
  <c r="FT11" i="2911"/>
  <c r="DI7" i="2911"/>
  <c r="DV15" i="2911"/>
  <c r="DK10" i="2911"/>
  <c r="CF19" i="2911"/>
  <c r="AL15" i="2911"/>
  <c r="FB18" i="2911"/>
  <c r="CA19" i="2911"/>
  <c r="EM8" i="2911"/>
  <c r="DG15" i="2911"/>
  <c r="FX6" i="2911"/>
  <c r="GC2" i="2911"/>
  <c r="GH11" i="2911"/>
  <c r="FA7" i="2911"/>
  <c r="EJ16" i="2911"/>
  <c r="FJ10" i="2911"/>
  <c r="CN11" i="2911"/>
  <c r="CD18" i="2911"/>
  <c r="FQ18" i="2911"/>
  <c r="E18" i="2911"/>
  <c r="BU6" i="2911"/>
  <c r="HS9" i="2911"/>
  <c r="DP19" i="2911"/>
  <c r="AP7" i="2911"/>
  <c r="FL17" i="2911"/>
  <c r="AP11" i="2911"/>
  <c r="CR4" i="2911"/>
  <c r="GD6" i="2911"/>
  <c r="CT2" i="2911"/>
  <c r="FC18" i="2911"/>
  <c r="HA11" i="2911"/>
  <c r="FI19" i="2911"/>
  <c r="N4" i="2911"/>
  <c r="DW8" i="2911"/>
  <c r="HZ6" i="2911"/>
  <c r="AO10" i="2911"/>
  <c r="EF11" i="2911"/>
  <c r="BQ4" i="2911"/>
  <c r="AG8" i="2911"/>
  <c r="I5" i="2911"/>
  <c r="Y15" i="2911"/>
  <c r="R6" i="2911"/>
  <c r="BO9" i="2911"/>
  <c r="Z2" i="2911"/>
  <c r="FA18" i="2911"/>
  <c r="HE3" i="2911"/>
  <c r="DP11" i="2911"/>
  <c r="FG19" i="2911"/>
  <c r="AU4" i="2911"/>
  <c r="A8" i="2911"/>
  <c r="W5" i="2911"/>
  <c r="AM13" i="2911"/>
  <c r="BB15" i="2911"/>
  <c r="BH16" i="2911"/>
  <c r="EP6" i="2911"/>
  <c r="CX14" i="2911"/>
  <c r="IV9" i="2911"/>
  <c r="U9" i="2911"/>
  <c r="DW17" i="2911"/>
  <c r="GH2" i="2911"/>
  <c r="J2" i="2911"/>
  <c r="FM10" i="2911"/>
  <c r="S10" i="2911"/>
  <c r="ES18" i="2911"/>
  <c r="AR18" i="2911"/>
  <c r="IQ3" i="2911"/>
  <c r="GD3" i="2911"/>
  <c r="AN3" i="2911"/>
  <c r="HN11" i="2911"/>
  <c r="FP11" i="2911"/>
  <c r="HF11" i="2911"/>
  <c r="BR4" i="2911"/>
  <c r="DJ8" i="2911"/>
  <c r="V5" i="2911"/>
  <c r="DT15" i="2911"/>
  <c r="BY6" i="2911"/>
  <c r="Z9" i="2911"/>
  <c r="W2" i="2911"/>
  <c r="IS18" i="2911"/>
  <c r="FP3" i="2911"/>
  <c r="EW11" i="2911"/>
  <c r="HK19" i="2911"/>
  <c r="AH19" i="2911"/>
  <c r="M11" i="2911"/>
  <c r="AZ8" i="2911"/>
  <c r="GZ14" i="2911"/>
  <c r="IA18" i="2911"/>
  <c r="ID19" i="2911"/>
  <c r="AF8" i="2911"/>
  <c r="FD14" i="2911"/>
  <c r="DP3" i="2911"/>
  <c r="CR8" i="2911"/>
  <c r="GU17" i="2911"/>
  <c r="AQ11" i="2911"/>
  <c r="EV7" i="2911"/>
  <c r="EP12" i="2911"/>
  <c r="FO13" i="2911"/>
  <c r="DH16" i="2911"/>
  <c r="DK14" i="2911"/>
  <c r="GP17" i="2911"/>
  <c r="EW10" i="2911"/>
  <c r="DL18" i="2911"/>
  <c r="CQ3" i="2911"/>
  <c r="AU19" i="2911"/>
  <c r="FP2" i="2911"/>
  <c r="DT11" i="2911"/>
  <c r="EU13" i="2911"/>
  <c r="HS10" i="2911"/>
  <c r="DU19" i="2911"/>
  <c r="DL16" i="2911"/>
  <c r="CI18" i="2911"/>
  <c r="CX4" i="2911"/>
  <c r="W8" i="2911"/>
  <c r="BU5" i="2911"/>
  <c r="Z15" i="2911"/>
  <c r="AC6" i="2911"/>
  <c r="AQ9" i="2911"/>
  <c r="AN2" i="2911"/>
  <c r="GL18" i="2911"/>
  <c r="EV3" i="2911"/>
  <c r="FQ11" i="2911"/>
  <c r="GF19" i="2911"/>
  <c r="J19" i="2911"/>
  <c r="HN8" i="2911"/>
  <c r="EA5" i="2911"/>
  <c r="GZ6" i="2911"/>
  <c r="CX10" i="2911"/>
  <c r="CF11" i="2911"/>
  <c r="BD7" i="2911"/>
  <c r="HK16" i="2911"/>
  <c r="HH18" i="2911"/>
  <c r="GK19" i="2911"/>
  <c r="H16" i="2911"/>
  <c r="X18" i="2911"/>
  <c r="EH4" i="2911"/>
  <c r="CH8" i="2911"/>
  <c r="CR5" i="2911"/>
  <c r="BO15" i="2911"/>
  <c r="BJ6" i="2911"/>
  <c r="DD9" i="2911"/>
  <c r="DA2" i="2911"/>
  <c r="HP18" i="2911"/>
  <c r="GK3" i="2911"/>
  <c r="EC11" i="2911"/>
  <c r="HB19" i="2911"/>
  <c r="FB19" i="2911"/>
  <c r="A7" i="2911"/>
  <c r="T12" i="2911"/>
  <c r="BT13" i="2911"/>
  <c r="AF16" i="2911"/>
  <c r="AD14" i="2911"/>
  <c r="AQ17" i="2911"/>
  <c r="FZ11" i="2911"/>
  <c r="CN19" i="2911"/>
  <c r="AK18" i="2911"/>
  <c r="AK12" i="2911"/>
  <c r="GF5" i="2911"/>
  <c r="GL10" i="2911"/>
  <c r="HH15" i="2911"/>
  <c r="CV8" i="2911"/>
  <c r="FV9" i="2911"/>
  <c r="EF10" i="2911"/>
  <c r="IT3" i="2911"/>
  <c r="GZ11" i="2911"/>
  <c r="BK19" i="2911"/>
  <c r="FE7" i="2911"/>
  <c r="CT12" i="2911"/>
  <c r="FL14" i="2911"/>
  <c r="ED18" i="2911"/>
  <c r="DY19" i="2911"/>
  <c r="EE7" i="2911"/>
  <c r="EX12" i="2911"/>
  <c r="DU13" i="2911"/>
  <c r="IQ16" i="2911"/>
  <c r="GK14" i="2911"/>
  <c r="EU17" i="2911"/>
  <c r="GK10" i="2911"/>
  <c r="FH18" i="2911"/>
  <c r="CG3" i="2911"/>
  <c r="T11" i="2911"/>
  <c r="T19" i="2911"/>
  <c r="DO7" i="2911"/>
  <c r="EC12" i="2911"/>
  <c r="HG13" i="2911"/>
  <c r="IL15" i="2911"/>
  <c r="IA16" i="2911"/>
  <c r="GF6" i="2911"/>
  <c r="IL14" i="2911"/>
  <c r="U14" i="2911"/>
  <c r="FO9" i="2911"/>
  <c r="IK17" i="2911"/>
  <c r="FE17" i="2911"/>
  <c r="ED2" i="2911"/>
  <c r="HQ10" i="2911"/>
  <c r="BH10" i="2911"/>
  <c r="R10" i="2911"/>
  <c r="FS18" i="2911"/>
  <c r="AB18" i="2911"/>
  <c r="HD3" i="2911"/>
  <c r="CE3" i="2911"/>
  <c r="BQ3" i="2911"/>
  <c r="IH11" i="2911"/>
  <c r="DM11" i="2911"/>
  <c r="BT11" i="2911"/>
  <c r="GP7" i="2911"/>
  <c r="EZ12" i="2911"/>
  <c r="GM13" i="2911"/>
  <c r="GB16" i="2911"/>
  <c r="ET14" i="2911"/>
  <c r="FQ17" i="2911"/>
  <c r="GI10" i="2911"/>
  <c r="EC18" i="2911"/>
  <c r="DH3" i="2911"/>
  <c r="EB11" i="2911"/>
  <c r="FD19" i="2911"/>
  <c r="CY19" i="2911"/>
  <c r="GN19" i="2911"/>
  <c r="DY13" i="2911"/>
  <c r="FC9" i="2911"/>
  <c r="N18" i="2911"/>
  <c r="EC19" i="2911"/>
  <c r="EB5" i="2911"/>
  <c r="FP17" i="2911"/>
  <c r="AZ11" i="2911"/>
  <c r="J5" i="2911"/>
  <c r="EI10" i="2911"/>
  <c r="DC19" i="2911"/>
  <c r="IG8" i="2911"/>
  <c r="IH5" i="2911"/>
  <c r="IB15" i="2911"/>
  <c r="IE6" i="2911"/>
  <c r="ID9" i="2911"/>
  <c r="IA2" i="2911"/>
  <c r="AP10" i="2911"/>
  <c r="K18" i="2911"/>
  <c r="FY11" i="2911"/>
  <c r="P19" i="2911"/>
  <c r="CJ10" i="2911"/>
  <c r="IK19" i="2911"/>
  <c r="AM15" i="2911"/>
  <c r="FG18" i="2911"/>
  <c r="U4" i="2911"/>
  <c r="EE14" i="2911"/>
  <c r="E3" i="2911"/>
  <c r="FX7" i="2911"/>
  <c r="EK12" i="2911"/>
  <c r="EP13" i="2911"/>
  <c r="FE16" i="2911"/>
  <c r="EU14" i="2911"/>
  <c r="ET17" i="2911"/>
  <c r="ES10" i="2911"/>
  <c r="DN18" i="2911"/>
  <c r="AW3" i="2911"/>
  <c r="AL11" i="2911"/>
  <c r="GB19" i="2911"/>
  <c r="GE4" i="2911"/>
  <c r="AP8" i="2911"/>
  <c r="ID13" i="2911"/>
  <c r="FT14" i="2911"/>
  <c r="FO18" i="2911"/>
  <c r="FK19" i="2911"/>
  <c r="FJ8" i="2911"/>
  <c r="CW6" i="2911"/>
  <c r="DE3" i="2911"/>
  <c r="BR7" i="2911"/>
  <c r="L14" i="2911"/>
  <c r="HW11" i="2911"/>
  <c r="IK7" i="2911"/>
  <c r="HC12" i="2911"/>
  <c r="GH13" i="2911"/>
  <c r="HS16" i="2911"/>
  <c r="GO14" i="2911"/>
  <c r="GM17" i="2911"/>
  <c r="HO10" i="2911"/>
  <c r="DX18" i="2911"/>
  <c r="ER3" i="2911"/>
  <c r="CI11" i="2911"/>
  <c r="FX19" i="2911"/>
  <c r="BD19" i="2911"/>
  <c r="EH8" i="2911"/>
  <c r="DZ5" i="2911"/>
  <c r="EN15" i="2911"/>
  <c r="CQ6" i="2911"/>
  <c r="EY9" i="2911"/>
  <c r="BZ2" i="2911"/>
  <c r="Z10" i="2911"/>
  <c r="IG3" i="2911"/>
  <c r="GJ11" i="2911"/>
  <c r="HX19" i="2911"/>
  <c r="AY19" i="2911"/>
  <c r="BE9" i="2911"/>
  <c r="IN11" i="2911"/>
  <c r="HW12" i="2911"/>
  <c r="DI9" i="2911"/>
  <c r="N3" i="2911"/>
  <c r="DV8" i="2911"/>
  <c r="D6" i="2911"/>
  <c r="CM19" i="2911"/>
  <c r="AY10" i="2911"/>
  <c r="HR13" i="2911"/>
  <c r="IG10" i="2911"/>
  <c r="DV19" i="2911"/>
  <c r="II15" i="2911"/>
  <c r="CM14" i="2911"/>
  <c r="DP2" i="2911"/>
  <c r="EX18" i="2911"/>
  <c r="BX3" i="2911"/>
  <c r="BM4" i="2911"/>
  <c r="AZ6" i="2911"/>
  <c r="DS3" i="2911"/>
  <c r="BR11" i="2911"/>
  <c r="GV19" i="2911"/>
  <c r="BD12" i="2911"/>
  <c r="AI12" i="2911"/>
  <c r="AW17" i="2911"/>
  <c r="Z19" i="2911"/>
  <c r="BD10" i="2911"/>
  <c r="HT7" i="2911"/>
  <c r="HW14" i="2911"/>
  <c r="CU3" i="2911"/>
  <c r="EA8" i="2911"/>
  <c r="BV11" i="2911"/>
  <c r="FF7" i="2911"/>
  <c r="AK8" i="2911"/>
  <c r="CB9" i="2911"/>
  <c r="EE11" i="2911"/>
  <c r="EO5" i="2911"/>
  <c r="FQ2" i="2911"/>
  <c r="ED11" i="2911"/>
  <c r="GG8" i="2911"/>
  <c r="BY14" i="2911"/>
  <c r="FZ18" i="2911"/>
  <c r="BH17" i="2911"/>
  <c r="DM3" i="2911"/>
  <c r="BP18" i="2911"/>
  <c r="EO7" i="2911"/>
  <c r="AH9" i="2911"/>
  <c r="HP13" i="2911"/>
  <c r="DG9" i="2911"/>
  <c r="BP19" i="2911"/>
  <c r="DY18" i="2911"/>
  <c r="CU13" i="2911"/>
  <c r="HH10" i="2911"/>
  <c r="CG19" i="2911"/>
  <c r="EJ15" i="2911"/>
  <c r="R14" i="2911"/>
  <c r="CU2" i="2911"/>
  <c r="DH18" i="2911"/>
  <c r="BN3" i="2911"/>
  <c r="FL7" i="2911"/>
  <c r="CT14" i="2911"/>
  <c r="CY3" i="2911"/>
  <c r="EV19" i="2911"/>
  <c r="CQ19" i="2911"/>
  <c r="M13" i="2911"/>
  <c r="HJ5" i="2911"/>
  <c r="FS2" i="2911"/>
  <c r="GB12" i="2911"/>
  <c r="H18" i="2911"/>
  <c r="EF7" i="2911"/>
  <c r="EA14" i="2911"/>
  <c r="BG3" i="2911"/>
  <c r="HG12" i="2911"/>
  <c r="FH19" i="2911"/>
  <c r="CJ8" i="2911"/>
  <c r="HE12" i="2911"/>
  <c r="EW17" i="2911"/>
  <c r="AB11" i="2911"/>
  <c r="AD5" i="2911"/>
  <c r="AE2" i="2911"/>
  <c r="HZ19" i="2911"/>
  <c r="GQ5" i="2911"/>
  <c r="CB13" i="2911"/>
  <c r="HU12" i="2911"/>
  <c r="AX5" i="2911"/>
  <c r="AE5" i="2911"/>
  <c r="GE19" i="2911"/>
  <c r="DA19" i="2911"/>
  <c r="ET13" i="2911"/>
  <c r="F19" i="2911"/>
  <c r="DR13" i="2911"/>
  <c r="DD16" i="2911"/>
  <c r="EL11" i="2911"/>
  <c r="CI16" i="2911"/>
  <c r="CT3" i="2911"/>
  <c r="EG17" i="2911"/>
  <c r="BB2" i="2911"/>
  <c r="AK4" i="2911"/>
  <c r="HS19" i="2911"/>
  <c r="HQ16" i="2911"/>
  <c r="GC18" i="2911"/>
  <c r="II7" i="2911"/>
  <c r="IN16" i="2911"/>
  <c r="DP9" i="2911"/>
  <c r="H2" i="2911"/>
  <c r="CA18" i="2911"/>
  <c r="HX11" i="2911"/>
  <c r="Y8" i="2911"/>
  <c r="BR9" i="2911"/>
  <c r="FE11" i="2911"/>
  <c r="FQ13" i="2911"/>
  <c r="CU12" i="2911"/>
  <c r="HF2" i="2911"/>
  <c r="CO10" i="2911"/>
  <c r="EH10" i="2911"/>
  <c r="AP19" i="2911"/>
  <c r="HV17" i="2911"/>
  <c r="HG11" i="2911"/>
  <c r="DS8" i="2911"/>
  <c r="B6" i="2911"/>
  <c r="C2" i="2911"/>
  <c r="GG15" i="2911"/>
  <c r="BR10" i="2911"/>
  <c r="HL14" i="2911"/>
  <c r="DZ11" i="2911"/>
  <c r="HG17" i="2911"/>
  <c r="ID3" i="2911"/>
  <c r="DE9" i="2911"/>
  <c r="FY19" i="2911"/>
  <c r="ER11" i="2911"/>
  <c r="CV6" i="2911"/>
  <c r="EO8" i="2911"/>
  <c r="CY16" i="2911"/>
  <c r="BJ18" i="2911"/>
  <c r="EE8" i="2911"/>
  <c r="EA11" i="2911"/>
  <c r="BW10" i="2911"/>
  <c r="DY10" i="2911"/>
  <c r="EA7" i="2911"/>
  <c r="N19" i="2911"/>
  <c r="CT16" i="2911"/>
  <c r="AZ18" i="2911"/>
  <c r="CZ7" i="2911"/>
  <c r="EG16" i="2911"/>
  <c r="CH9" i="2911"/>
  <c r="HC10" i="2911"/>
  <c r="AG18" i="2911"/>
  <c r="HU11" i="2911"/>
  <c r="EL12" i="2911"/>
  <c r="EB17" i="2911"/>
  <c r="AG11" i="2911"/>
  <c r="ED15" i="2911"/>
  <c r="IA13" i="2911"/>
  <c r="CL10" i="2911"/>
  <c r="FP15" i="2911"/>
  <c r="BY10" i="2911"/>
  <c r="HO18" i="2911"/>
  <c r="FB8" i="2911"/>
  <c r="DV12" i="2911"/>
  <c r="GF17" i="2911"/>
  <c r="CW11" i="2911"/>
  <c r="AQ13" i="2911"/>
  <c r="DO12" i="2911"/>
  <c r="CN9" i="2911"/>
  <c r="EC13" i="2911"/>
  <c r="HF10" i="2911"/>
  <c r="DZ19" i="2911"/>
  <c r="DZ15" i="2911"/>
  <c r="HD18" i="2911"/>
  <c r="DW19" i="2911"/>
  <c r="EY17" i="2911"/>
  <c r="HU3" i="2911"/>
  <c r="HO3" i="2911"/>
  <c r="DK7" i="2911"/>
  <c r="AR3" i="2911"/>
  <c r="EM6" i="2911"/>
  <c r="BT10" i="2911"/>
  <c r="GS10" i="2911"/>
  <c r="FJ2" i="2911"/>
  <c r="FA19" i="2911"/>
  <c r="AV14" i="2911"/>
  <c r="FX3" i="2911"/>
  <c r="AT11" i="2911"/>
  <c r="AE3" i="2911"/>
  <c r="CK17" i="2911"/>
  <c r="CU19" i="2911"/>
  <c r="G18" i="2911"/>
  <c r="HX12" i="2911"/>
  <c r="HL7" i="2911"/>
  <c r="HO14" i="2911"/>
  <c r="CM3" i="2911"/>
  <c r="IJ12" i="2911"/>
  <c r="IL6" i="2911"/>
  <c r="D9" i="2911"/>
  <c r="CM10" i="2911"/>
  <c r="IM3" i="2911"/>
  <c r="EV11" i="2911"/>
  <c r="E5" i="2911"/>
  <c r="BA2" i="2911"/>
  <c r="EH19" i="2911"/>
  <c r="BD14" i="2911"/>
  <c r="ER9" i="2911"/>
  <c r="IV19" i="2911"/>
  <c r="G16" i="2911"/>
  <c r="FR18" i="2911"/>
  <c r="DO11" i="2911"/>
  <c r="DB6" i="2911"/>
  <c r="HZ13" i="2911"/>
  <c r="X2" i="2911"/>
  <c r="FS19" i="2911"/>
  <c r="CY6" i="2911"/>
  <c r="IR6" i="2911"/>
  <c r="GH3" i="2911"/>
  <c r="AE15" i="2911"/>
  <c r="FI18" i="2911"/>
  <c r="BX19" i="2911"/>
  <c r="FZ6" i="2911"/>
  <c r="C18" i="2911"/>
  <c r="GZ9" i="2911"/>
  <c r="B3" i="2911"/>
  <c r="FC16" i="2911"/>
  <c r="CF12" i="2911"/>
  <c r="DP14" i="2911"/>
  <c r="DA12" i="2911"/>
  <c r="HK17" i="2911"/>
  <c r="HB3" i="2911"/>
  <c r="DB19" i="2911"/>
  <c r="FS6" i="2911"/>
  <c r="EU10" i="2911"/>
  <c r="DI4" i="2911"/>
  <c r="FJ9" i="2911"/>
  <c r="A4" i="2911"/>
  <c r="FA11" i="2911"/>
  <c r="HI11" i="2911"/>
  <c r="AH4" i="2911"/>
  <c r="GG11" i="2911"/>
  <c r="DD6" i="2911"/>
  <c r="HM12" i="2911"/>
  <c r="HN17" i="2911"/>
  <c r="DW11" i="2911"/>
  <c r="IG13" i="2911"/>
  <c r="CC6" i="2911"/>
  <c r="BI17" i="2911"/>
  <c r="FB10" i="2911"/>
  <c r="DC3" i="2911"/>
  <c r="CK11" i="2911"/>
  <c r="O15" i="2911"/>
  <c r="FN18" i="2911"/>
  <c r="FJ19" i="2911"/>
  <c r="DK18" i="2911"/>
  <c r="FL11" i="2911"/>
  <c r="AH7" i="2911"/>
  <c r="BC14" i="2911"/>
  <c r="HB11" i="2911"/>
  <c r="GX15" i="2911"/>
  <c r="FM3" i="2911"/>
  <c r="HY16" i="2911"/>
  <c r="GN18" i="2911"/>
  <c r="BH19" i="2911"/>
  <c r="F10" i="2911"/>
  <c r="AY18" i="2911"/>
  <c r="H4" i="2911"/>
  <c r="BH6" i="2911"/>
  <c r="IP3" i="2911"/>
  <c r="GC8" i="2911"/>
  <c r="FY9" i="2911"/>
  <c r="IS11" i="2911"/>
  <c r="AL3" i="2911"/>
  <c r="AE13" i="2911"/>
  <c r="AR8" i="2911"/>
  <c r="FB11" i="2911"/>
  <c r="DV14" i="2911"/>
  <c r="DE12" i="2911"/>
  <c r="FN17" i="2911"/>
  <c r="BO11" i="2911"/>
  <c r="GL13" i="2911"/>
  <c r="FM14" i="2911"/>
  <c r="AV17" i="2911"/>
  <c r="FT10" i="2911"/>
  <c r="FG3" i="2911"/>
  <c r="CT11" i="2911"/>
  <c r="CS16" i="2911"/>
  <c r="DW18" i="2911"/>
  <c r="CX3" i="2911"/>
  <c r="HI19" i="2911"/>
  <c r="DQ11" i="2911"/>
  <c r="GX14" i="2911"/>
  <c r="AH2" i="491" l="1"/>
  <c r="AR2" i="491"/>
  <c r="DP2" i="491"/>
  <c r="CT2" i="491"/>
  <c r="CK2" i="491" s="1"/>
  <c r="DL2" i="491" s="1"/>
  <c r="DQ2" i="491" s="1"/>
  <c r="AQ2" i="491"/>
  <c r="AG2" i="491"/>
  <c r="BL2" i="491"/>
  <c r="CU2" i="491"/>
  <c r="AE2" i="491"/>
  <c r="BM2" i="491"/>
  <c r="AY2" i="491"/>
  <c r="BD2" i="491"/>
  <c r="BF2" i="491" l="1"/>
  <c r="EL2" i="491"/>
  <c r="EN2" i="491"/>
  <c r="EF2" i="491"/>
  <c r="CB2" i="491"/>
  <c r="EM2" i="491"/>
  <c r="CC2" i="491"/>
  <c r="BO2" i="491"/>
  <c r="AV2" i="491"/>
  <c r="BA2" i="491" s="1"/>
  <c r="BE2" i="491"/>
  <c r="AU2" i="491"/>
  <c r="AZ2" i="491" s="1"/>
  <c r="EQ2" i="491" l="1"/>
  <c r="BI2" i="491"/>
  <c r="ED2" i="491"/>
  <c r="EE2" i="491" s="1"/>
  <c r="CW2" i="491"/>
  <c r="CY2" i="491"/>
  <c r="DA2" i="491" l="1"/>
  <c r="DD2" i="491"/>
  <c r="DB2" i="491"/>
  <c r="DC2" i="491"/>
  <c r="DF2" i="491"/>
  <c r="BX2" i="491"/>
  <c r="BJ2" i="491"/>
  <c r="BP2" i="491" s="1"/>
  <c r="BS2" i="491" s="1"/>
  <c r="DJ2" i="491" l="1"/>
  <c r="DI2" i="491"/>
  <c r="DH2" i="491"/>
  <c r="DE2" i="491"/>
  <c r="CP2" i="491"/>
  <c r="CQ2" i="491" s="1"/>
  <c r="CR2" i="491" s="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<sst xmlns="http://schemas.openxmlformats.org/spreadsheetml/2006/main" count="1633" uniqueCount="635">
  <si>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</si>
  <si>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</si>
  <si>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</si>
  <si>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</si>
  <si>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</si>
  <si>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</si>
  <si>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</si>
  <si>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</si>
  <si>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</si>
  <si>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</si>
  <si>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</si>
  <si>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</si>
  <si>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</si>
  <si>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</si>
  <si>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</si>
  <si>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</si>
  <si>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</si>
  <si>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</si>
  <si>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</si>
  <si>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</si>
  <si>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</si>
  <si>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</si>
  <si>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</si>
  <si>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</si>
  <si>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</si>
  <si>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</si>
  <si>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</si>
  <si>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</si>
  <si>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</si>
  <si>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</si>
  <si>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</si>
  <si>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</si>
  <si>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</si>
  <si>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</si>
  <si>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</si>
  <si>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</si>
  <si>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</si>
  <si>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</si>
  <si>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</si>
  <si>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</si>
  <si>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</si>
  <si>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</si>
  <si>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</si>
  <si>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</si>
  <si>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</si>
  <si>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</si>
  <si>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</si>
  <si>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</si>
  <si>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</si>
  <si>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</si>
  <si>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</si>
  <si>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</si>
  <si>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</si>
  <si>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</si>
  <si>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</si>
  <si>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</si>
  <si>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</si>
  <si>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</si>
  <si>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</si>
  <si>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</si>
  <si>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</si>
  <si>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</si>
  <si>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</si>
  <si>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</si>
  <si>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</si>
  <si>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</si>
  <si>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</si>
  <si>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</si>
  <si>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</si>
  <si>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</si>
  <si>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</si>
  <si>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</si>
  <si>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</si>
  <si>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</si>
  <si>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</si>
  <si>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</si>
  <si>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</si>
  <si>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</si>
  <si>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</si>
  <si>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</si>
  <si>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</si>
  <si>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</si>
  <si>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</si>
  <si>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</si>
  <si>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</si>
  <si>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</si>
  <si>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</si>
  <si>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</si>
  <si>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</si>
  <si>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</si>
  <si>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</si>
  <si>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</si>
  <si>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</si>
  <si>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</si>
  <si>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</si>
  <si>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</si>
  <si>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</si>
  <si>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</si>
  <si>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</si>
  <si>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</si>
  <si>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</si>
  <si>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</si>
  <si>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</si>
  <si>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</si>
  <si>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</si>
  <si>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</si>
  <si>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</si>
  <si>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</si>
  <si>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</si>
  <si>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</si>
  <si>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</si>
  <si>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</si>
  <si>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</si>
  <si>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</si>
  <si>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</si>
  <si>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</si>
  <si>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</si>
  <si>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</si>
  <si>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</si>
  <si>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</si>
  <si>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</si>
  <si>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</si>
  <si>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</si>
  <si>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</si>
  <si>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</si>
  <si>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</si>
  <si>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</si>
  <si>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</si>
  <si>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</si>
  <si>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</si>
  <si>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</si>
  <si>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</si>
  <si>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</si>
  <si>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</si>
  <si>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</si>
  <si>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</si>
  <si>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</si>
  <si>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</si>
  <si>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</si>
  <si>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</si>
  <si>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</si>
  <si>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</si>
  <si>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</si>
  <si>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</si>
  <si>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</si>
  <si>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</si>
  <si>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</si>
  <si>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</si>
  <si>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</si>
  <si>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</si>
  <si>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</si>
  <si>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</si>
  <si>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</si>
  <si>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</si>
  <si>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</si>
  <si>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</si>
  <si>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</si>
  <si>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</si>
  <si>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</si>
  <si>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</si>
  <si>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</si>
  <si>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</si>
  <si>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</si>
  <si>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</si>
  <si>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</si>
  <si>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</si>
  <si>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</si>
  <si>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</si>
  <si>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</si>
  <si>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</si>
  <si>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</si>
  <si>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</si>
  <si>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</si>
  <si>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</si>
  <si>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</si>
  <si>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</si>
  <si>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</si>
  <si>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</si>
  <si>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</si>
  <si>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</si>
  <si>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</si>
  <si>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</si>
  <si>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</si>
  <si>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</si>
  <si>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</si>
  <si>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</si>
  <si>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</si>
  <si>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</si>
  <si>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</si>
  <si>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</si>
  <si>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</si>
  <si>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</si>
  <si>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</si>
  <si>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</si>
  <si>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</si>
  <si>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</si>
  <si>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</si>
  <si>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</si>
  <si>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</si>
  <si>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</si>
  <si>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</si>
  <si>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</si>
  <si>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</si>
  <si>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</si>
  <si>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</si>
  <si>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</si>
  <si>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</si>
  <si>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</si>
  <si>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</si>
  <si>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</si>
  <si>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</si>
  <si>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</si>
  <si>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</si>
  <si>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</si>
  <si>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</si>
  <si>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</si>
  <si>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</si>
  <si>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</si>
  <si>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</si>
  <si>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</si>
  <si>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</si>
  <si>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</si>
  <si>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</si>
  <si>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</si>
  <si>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</si>
  <si>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</si>
  <si>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</si>
  <si>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</si>
  <si>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</si>
  <si>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</si>
  <si>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</si>
  <si>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</si>
  <si>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</si>
  <si>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</si>
  <si>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</si>
  <si>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</si>
  <si>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</si>
  <si>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</si>
  <si>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</si>
  <si>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</si>
  <si>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</si>
  <si>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</si>
  <si>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</si>
  <si>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</si>
  <si>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</si>
  <si>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</si>
  <si>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</si>
  <si>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</si>
  <si>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</si>
  <si>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</si>
  <si>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</si>
  <si>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</si>
  <si>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</si>
  <si>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</si>
  <si>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</si>
  <si>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</si>
  <si>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</si>
  <si>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</si>
  <si>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</si>
  <si>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</si>
  <si>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</si>
  <si>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</si>
  <si>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</si>
  <si>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</si>
  <si>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</si>
  <si>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</si>
  <si>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</si>
  <si>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</si>
  <si>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</si>
  <si>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</si>
  <si>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</si>
  <si>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</si>
  <si>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</si>
  <si>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</si>
  <si>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</si>
  <si>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</si>
  <si>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</si>
  <si>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</si>
  <si>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</si>
  <si>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</si>
  <si>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</si>
  <si>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</si>
  <si>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</si>
  <si>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</si>
  <si>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</si>
  <si>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</si>
  <si>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</si>
  <si>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</si>
  <si>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</si>
  <si>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</si>
  <si>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</si>
  <si>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</si>
  <si>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</si>
  <si>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</si>
  <si>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</si>
  <si>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</si>
  <si>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</si>
  <si>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</si>
  <si>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</si>
  <si>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</si>
  <si>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</si>
  <si>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</si>
  <si>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</si>
  <si>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</si>
  <si>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</si>
  <si>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</si>
  <si>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</si>
  <si>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</si>
  <si>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</si>
  <si>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</si>
  <si>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</si>
  <si>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</si>
  <si>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</si>
  <si>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</si>
  <si>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</si>
  <si>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</si>
  <si>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</si>
  <si>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</si>
  <si>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</si>
  <si>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</si>
  <si>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</si>
  <si>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</si>
  <si>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</si>
  <si>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</si>
  <si>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</si>
  <si>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</si>
  <si>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</si>
  <si>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</si>
  <si>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</si>
  <si>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</si>
  <si>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</si>
  <si>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</si>
  <si>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</si>
  <si>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</si>
  <si>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</si>
  <si>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</si>
  <si>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</si>
  <si>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</si>
  <si>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</si>
  <si>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</si>
  <si>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</si>
  <si>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</si>
  <si>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</si>
  <si>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</si>
  <si>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</si>
  <si>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</si>
  <si>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</si>
  <si>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</si>
  <si>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</si>
  <si>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</si>
  <si>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</si>
  <si>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</si>
  <si>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</si>
  <si>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</si>
  <si>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</si>
  <si>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</si>
  <si>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</si>
  <si>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</si>
  <si>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</si>
  <si>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</si>
  <si>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</si>
  <si>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</si>
  <si>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</si>
  <si>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</si>
  <si>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</si>
  <si>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</si>
  <si>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</si>
  <si>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</si>
  <si>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</si>
  <si>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</si>
  <si>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</si>
  <si>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</si>
  <si>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</si>
  <si>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</si>
  <si>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</si>
  <si>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</si>
  <si>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</si>
  <si>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</si>
  <si>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</si>
  <si>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</si>
  <si>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</si>
  <si>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</si>
  <si>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</si>
  <si>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</si>
  <si>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</si>
  <si>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</si>
  <si>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</si>
  <si>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</si>
  <si>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</si>
  <si>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</si>
  <si>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</si>
  <si>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</si>
  <si>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</si>
  <si>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</si>
  <si>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</si>
  <si>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</si>
  <si>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</si>
  <si>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</si>
  <si>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</si>
  <si>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</si>
  <si>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</si>
  <si>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</si>
  <si>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</si>
  <si>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</si>
  <si>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</si>
  <si>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</si>
  <si>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</si>
  <si>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</si>
  <si>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</si>
  <si>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</si>
  <si>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</si>
  <si>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</si>
  <si>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</si>
  <si>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</si>
  <si>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</si>
  <si>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</si>
  <si>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</si>
  <si>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</si>
  <si>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</si>
  <si>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</si>
  <si>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</si>
  <si>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</si>
  <si>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</si>
  <si>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</si>
  <si>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</si>
  <si>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</si>
  <si>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</si>
  <si>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</si>
  <si>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</si>
  <si>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</si>
  <si>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</si>
  <si>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</si>
  <si>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</si>
  <si>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</si>
  <si>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</si>
  <si>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</si>
  <si>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</si>
  <si>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</si>
  <si>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</si>
  <si>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</si>
  <si>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</si>
  <si>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</si>
  <si>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</si>
  <si>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</si>
  <si>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</si>
  <si>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</si>
  <si>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</si>
  <si>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</si>
  <si>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</si>
  <si>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</si>
  <si>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</si>
  <si>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</si>
  <si>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</si>
  <si>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</si>
  <si>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</si>
  <si>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</si>
  <si>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</si>
  <si>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</si>
  <si>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</si>
  <si>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</si>
  <si>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</si>
  <si>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</si>
  <si>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</si>
  <si>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</si>
  <si>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</si>
  <si>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</si>
  <si>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</si>
  <si>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</si>
  <si>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</si>
  <si>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</si>
  <si>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</si>
  <si>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</si>
  <si>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</si>
  <si>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</si>
  <si>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</si>
  <si>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</si>
  <si>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</si>
  <si>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</si>
  <si>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</si>
  <si>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</si>
  <si>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</si>
  <si>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</si>
  <si>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</si>
  <si>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</si>
  <si>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</si>
  <si>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</si>
  <si>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</si>
  <si>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</si>
  <si>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</si>
  <si>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</si>
  <si>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</si>
  <si>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</si>
  <si>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</si>
  <si>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</si>
  <si>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</si>
  <si>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</si>
  <si>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</si>
  <si>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</si>
  <si>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</si>
  <si>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</si>
  <si>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</si>
  <si>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</si>
  <si>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</si>
  <si>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</si>
  <si>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</si>
  <si>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</si>
  <si>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</si>
  <si>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</si>
  <si>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</si>
  <si>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</si>
  <si>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</si>
  <si>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</si>
  <si>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</si>
  <si>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</si>
  <si>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</si>
  <si>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</si>
  <si>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</si>
  <si>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</si>
  <si>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</si>
  <si>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</si>
  <si>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</si>
  <si>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</si>
  <si>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</si>
  <si>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</si>
  <si>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</si>
  <si>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</si>
  <si>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</si>
  <si>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</si>
  <si>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</si>
  <si>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</si>
  <si>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</si>
  <si>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</si>
  <si>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</si>
  <si>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</si>
  <si>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</si>
  <si>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65-006</t>
  </si>
  <si>
    <t>65-009</t>
  </si>
  <si>
    <t>65-206</t>
  </si>
  <si>
    <t>65-209</t>
  </si>
  <si>
    <t>65-012</t>
  </si>
  <si>
    <t>65-212</t>
  </si>
  <si>
    <t>65-412</t>
  </si>
  <si>
    <t>65-015</t>
  </si>
  <si>
    <t>65-215</t>
  </si>
  <si>
    <t>65-415</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</si>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</sst>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xf numFmtId="0" fontId="8" fillId="3" borderId="4" xfId="0" applyFont="1" applyFill="1" applyBorder="1" applyAlignment="1">
      <alignment horizontal="left"/>
    </xf>
    <xf numFmtId="0" fontId="8" fillId="3" borderId="1" xfId="0" applyFont="1" applyFill="1" applyBorder="1" applyAlignment="1">
      <alignment horizontal="left"/>
    </xf>
    <xf numFmtId="0" fontId="0" fillId="2" borderId="0" xfId="0" applyFill="1" applyAlignment="1">
      <alignment horizontal="left"/>
    </xf>
    <xf numFmtId="0" fontId="8" fillId="4" borderId="1" xfId="0" applyFont="1" applyFill="1" applyBorder="1" applyAlignment="1">
      <alignment horizontal="left"/>
    </xf>
    <xf numFmtId="0" fontId="10" fillId="2" borderId="1" xfId="0" applyFont="1" applyFill="1" applyBorder="1" applyAlignment="1">
      <alignment horizontal="left"/>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layout/>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'Data 2'!$A$2:$A$14</c:f>
              <c:numCache>
                <c:formatCode>General</c:formatCode>
                <c:ptCount val="13"/>
                <c:pt idx="0">
                  <c:v>30</c:v>
                </c:pt>
                <c:pt idx="1">
                  <c:v>30</c:v>
                </c:pt>
                <c:pt idx="2">
                  <c:v>30</c:v>
                </c:pt>
                <c:pt idx="3">
                  <c:v>30</c:v>
                </c:pt>
                <c:pt idx="4">
                  <c:v>30</c:v>
                </c:pt>
                <c:pt idx="5">
                  <c:v>30</c:v>
                </c:pt>
                <c:pt idx="6">
                  <c:v>30</c:v>
                </c:pt>
                <c:pt idx="7">
                  <c:v>30</c:v>
                </c:pt>
                <c:pt idx="8">
                  <c:v>30</c:v>
                </c:pt>
                <c:pt idx="9">
                  <c:v>30</c:v>
                </c:pt>
                <c:pt idx="10">
                  <c:v>30</c:v>
                </c:pt>
                <c:pt idx="11">
                  <c:v>30</c:v>
                </c:pt>
                <c:pt idx="12">
                  <c:v>30</c:v>
                </c:pt>
              </c:numCache>
            </c:numRef>
          </c:xVal>
          <c:yVal>
            <c:numRef>
              <c:f>'Data 2'!$B$2:$B$14</c:f>
              <c:numCache>
                <c:formatCode>General</c:formatCode>
                <c:ptCount val="13"/>
                <c:pt idx="0">
                  <c:v>1</c:v>
                </c:pt>
                <c:pt idx="1">
                  <c:v>1.25</c:v>
                </c:pt>
                <c:pt idx="2">
                  <c:v>1.5</c:v>
                </c:pt>
                <c:pt idx="3">
                  <c:v>1</c:v>
                </c:pt>
                <c:pt idx="4">
                  <c:v>1.5</c:v>
                </c:pt>
                <c:pt idx="5">
                  <c:v>1</c:v>
                </c:pt>
                <c:pt idx="6">
                  <c:v>1.25</c:v>
                </c:pt>
                <c:pt idx="7">
                  <c:v>1.5</c:v>
                </c:pt>
                <c:pt idx="8">
                  <c:v>1</c:v>
                </c:pt>
                <c:pt idx="9">
                  <c:v>1.5</c:v>
                </c:pt>
                <c:pt idx="10">
                  <c:v>1</c:v>
                </c:pt>
                <c:pt idx="11">
                  <c:v>1.25</c:v>
                </c:pt>
                <c:pt idx="12">
                  <c:v>1.5</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'Data 3'!$A$2:$A$26</c:f>
              <c:numCache>
                <c:formatCode>General</c:formatCode>
                <c:ptCount val="25"/>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numCache>
            </c:numRef>
          </c:xVal>
          <c:yVal>
            <c:numRef>
              <c:f>'Data 3'!$B$2:$B$26</c:f>
              <c:numCache>
                <c:formatCode>General</c:formatCode>
                <c:ptCount val="25"/>
                <c:pt idx="0">
                  <c:v>1.5</c:v>
                </c:pt>
                <c:pt idx="1">
                  <c:v>1.5</c:v>
                </c:pt>
                <c:pt idx="2">
                  <c:v>1.5</c:v>
                </c:pt>
                <c:pt idx="3">
                  <c:v>1.5</c:v>
                </c:pt>
                <c:pt idx="4">
                  <c:v>0.5</c:v>
                </c:pt>
                <c:pt idx="5">
                  <c:v>0.75</c:v>
                </c:pt>
                <c:pt idx="6">
                  <c:v>1</c:v>
                </c:pt>
                <c:pt idx="7">
                  <c:v>1.25</c:v>
                </c:pt>
                <c:pt idx="8">
                  <c:v>1.5</c:v>
                </c:pt>
                <c:pt idx="9">
                  <c:v>1.5</c:v>
                </c:pt>
                <c:pt idx="10">
                  <c:v>1.5</c:v>
                </c:pt>
                <c:pt idx="11">
                  <c:v>1.5</c:v>
                </c:pt>
                <c:pt idx="12">
                  <c:v>1.5</c:v>
                </c:pt>
                <c:pt idx="13">
                  <c:v>1.5</c:v>
                </c:pt>
                <c:pt idx="14">
                  <c:v>1</c:v>
                </c:pt>
                <c:pt idx="15">
                  <c:v>1.5</c:v>
                </c:pt>
                <c:pt idx="16">
                  <c:v>0.5</c:v>
                </c:pt>
                <c:pt idx="17">
                  <c:v>0.75</c:v>
                </c:pt>
                <c:pt idx="18">
                  <c:v>1</c:v>
                </c:pt>
                <c:pt idx="19">
                  <c:v>1.25</c:v>
                </c:pt>
                <c:pt idx="20">
                  <c:v>1.5</c:v>
                </c:pt>
                <c:pt idx="21">
                  <c:v>1</c:v>
                </c:pt>
                <c:pt idx="22">
                  <c:v>1.5</c:v>
                </c:pt>
                <c:pt idx="23">
                  <c:v>1</c:v>
                </c:pt>
                <c:pt idx="24">
                  <c:v>1.5</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46934784"/>
        <c:axId val="146933248"/>
      </c:scatterChart>
      <c:valAx>
        <c:axId val="146934784"/>
        <c:scaling>
          <c:orientation val="minMax"/>
          <c:max val="70"/>
          <c:min val="0"/>
        </c:scaling>
        <c:delete val="0"/>
        <c:axPos val="b"/>
        <c:title>
          <c:tx>
            <c:rich>
              <a:bodyPr/>
              <a:lstStyle/>
              <a:p>
                <a:pPr>
                  <a:defRPr sz="1400"/>
                </a:pPr>
                <a:r>
                  <a:rPr lang="en-US" sz="1400"/>
                  <a:t>Beta1</a:t>
                </a:r>
              </a:p>
            </c:rich>
          </c:tx>
          <c:layout/>
          <c:overlay val="0"/>
        </c:title>
        <c:majorTickMark val="out"/>
        <c:minorTickMark val="none"/>
        <c:tickLblPos val="nextTo"/>
        <c:txPr>
          <a:bodyPr/>
          <a:lstStyle/>
          <a:p>
            <a:pPr>
              <a:defRPr sz="1200"/>
            </a:pPr>
            <a:endParaRPr lang="en-US"/>
          </a:p>
        </c:txPr>
        <c:crossAx val="146933248"/>
        <c:crosses val="autoZero"/>
        <c:crossBetween val="midCat"/>
      </c:valAx>
      <c:valAx>
        <c:axId val="146933248"/>
        <c:scaling>
          <c:orientation val="minMax"/>
          <c:max val="2.2000000000000002"/>
          <c:min val="0"/>
        </c:scaling>
        <c:delete val="0"/>
        <c:axPos val="l"/>
        <c:majorGridlines/>
        <c:title>
          <c:tx>
            <c:rich>
              <a:bodyPr/>
              <a:lstStyle/>
              <a:p>
                <a:pPr>
                  <a:defRPr sz="1400"/>
                </a:pPr>
                <a:r>
                  <a:rPr lang="en-US" sz="1400"/>
                  <a:t>Solidity</a:t>
                </a:r>
              </a:p>
            </c:rich>
          </c:tx>
          <c:layout/>
          <c:overlay val="0"/>
        </c:title>
        <c:numFmt formatCode="General" sourceLinked="1"/>
        <c:majorTickMark val="out"/>
        <c:minorTickMark val="none"/>
        <c:tickLblPos val="nextTo"/>
        <c:txPr>
          <a:bodyPr/>
          <a:lstStyle/>
          <a:p>
            <a:pPr>
              <a:defRPr sz="1200"/>
            </a:pPr>
            <a:endParaRPr lang="en-US"/>
          </a:p>
        </c:txPr>
        <c:crossAx val="14693478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layout/>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strRef>
              <c:f>'Data 2'!$C$2:$C$14</c:f>
              <c:strCache>
                <c:ptCount val="13"/>
                <c:pt idx="0">
                  <c:v>65-410</c:v>
                </c:pt>
                <c:pt idx="1">
                  <c:v>65-410</c:v>
                </c:pt>
                <c:pt idx="2">
                  <c:v>65-410</c:v>
                </c:pt>
                <c:pt idx="3">
                  <c:v>65-810</c:v>
                </c:pt>
                <c:pt idx="4">
                  <c:v>65-810</c:v>
                </c:pt>
                <c:pt idx="5">
                  <c:v>65-(12)10</c:v>
                </c:pt>
                <c:pt idx="6">
                  <c:v>65-(12)10</c:v>
                </c:pt>
                <c:pt idx="7">
                  <c:v>65-(12)10</c:v>
                </c:pt>
                <c:pt idx="8">
                  <c:v>65-(15)10</c:v>
                </c:pt>
                <c:pt idx="9">
                  <c:v>65-(15)10</c:v>
                </c:pt>
                <c:pt idx="10">
                  <c:v>65-(18)10</c:v>
                </c:pt>
                <c:pt idx="11">
                  <c:v>65-(18)10</c:v>
                </c:pt>
                <c:pt idx="12">
                  <c:v>65-(18)10</c:v>
                </c:pt>
              </c:strCache>
            </c:strRef>
          </c:xVal>
          <c:yVal>
            <c:numRef>
              <c:f>'Data 2'!$D$2:$D$14</c:f>
              <c:numCache>
                <c:formatCode>General</c:formatCode>
                <c:ptCount val="13"/>
                <c:pt idx="0">
                  <c:v>6.7000000000000002E-3</c:v>
                </c:pt>
                <c:pt idx="1">
                  <c:v>6.7000000000000002E-3</c:v>
                </c:pt>
                <c:pt idx="2">
                  <c:v>6.7000000000000002E-3</c:v>
                </c:pt>
                <c:pt idx="3">
                  <c:v>6.7000000000000002E-3</c:v>
                </c:pt>
                <c:pt idx="4">
                  <c:v>6.7000000000000002E-3</c:v>
                </c:pt>
                <c:pt idx="5">
                  <c:v>6.7000000000000002E-3</c:v>
                </c:pt>
                <c:pt idx="6">
                  <c:v>6.7000000000000002E-3</c:v>
                </c:pt>
                <c:pt idx="7">
                  <c:v>6.7000000000000002E-3</c:v>
                </c:pt>
                <c:pt idx="8">
                  <c:v>6.7000000000000002E-3</c:v>
                </c:pt>
                <c:pt idx="9">
                  <c:v>6.7000000000000002E-3</c:v>
                </c:pt>
                <c:pt idx="10">
                  <c:v>6.7000000000000002E-3</c:v>
                </c:pt>
                <c:pt idx="11">
                  <c:v>6.7000000000000002E-3</c:v>
                </c:pt>
                <c:pt idx="12">
                  <c:v>6.7000000000000002E-3</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strRef>
              <c:f>'Data 3'!$C$2:$C$26</c:f>
              <c:strCache>
                <c:ptCount val="25"/>
                <c:pt idx="0">
                  <c:v>65-410</c:v>
                </c:pt>
                <c:pt idx="1">
                  <c:v>65-810</c:v>
                </c:pt>
                <c:pt idx="2">
                  <c:v>65-(12)06</c:v>
                </c:pt>
                <c:pt idx="3">
                  <c:v>65-(12)08</c:v>
                </c:pt>
                <c:pt idx="4">
                  <c:v>65-(12)10</c:v>
                </c:pt>
                <c:pt idx="5">
                  <c:v>65-(12)10</c:v>
                </c:pt>
                <c:pt idx="6">
                  <c:v>65-(12)10</c:v>
                </c:pt>
                <c:pt idx="7">
                  <c:v>65-(12)10</c:v>
                </c:pt>
                <c:pt idx="8">
                  <c:v>65-(12)10</c:v>
                </c:pt>
                <c:pt idx="9">
                  <c:v>65-(12)10</c:v>
                </c:pt>
                <c:pt idx="10">
                  <c:v>65-(12)10 1% TER</c:v>
                </c:pt>
                <c:pt idx="11">
                  <c:v>65-(12)10 2% TER</c:v>
                </c:pt>
                <c:pt idx="12">
                  <c:v>65-(12)12</c:v>
                </c:pt>
                <c:pt idx="13">
                  <c:v>65-(12)15</c:v>
                </c:pt>
                <c:pt idx="14">
                  <c:v>65-(15)10</c:v>
                </c:pt>
                <c:pt idx="15">
                  <c:v>65-(15)10</c:v>
                </c:pt>
                <c:pt idx="16">
                  <c:v>65-(18)10</c:v>
                </c:pt>
                <c:pt idx="17">
                  <c:v>65-(18)10</c:v>
                </c:pt>
                <c:pt idx="18">
                  <c:v>65-(18)10</c:v>
                </c:pt>
                <c:pt idx="19">
                  <c:v>65-(18)10</c:v>
                </c:pt>
                <c:pt idx="20">
                  <c:v>65-(18)10</c:v>
                </c:pt>
                <c:pt idx="21">
                  <c:v>65-(21)10</c:v>
                </c:pt>
                <c:pt idx="22">
                  <c:v>65-(21)10</c:v>
                </c:pt>
                <c:pt idx="23">
                  <c:v>65-(24)10</c:v>
                </c:pt>
                <c:pt idx="24">
                  <c:v>65-(24)10</c:v>
                </c:pt>
              </c:strCache>
            </c:strRef>
          </c:xVal>
          <c:yVal>
            <c:numRef>
              <c:f>'Data 3'!$D$2:$D$26</c:f>
              <c:numCache>
                <c:formatCode>General</c:formatCode>
                <c:ptCount val="25"/>
                <c:pt idx="0">
                  <c:v>6.7000000000000002E-3</c:v>
                </c:pt>
                <c:pt idx="1">
                  <c:v>6.7000000000000002E-3</c:v>
                </c:pt>
                <c:pt idx="2">
                  <c:v>2.3999999999999998E-3</c:v>
                </c:pt>
                <c:pt idx="3">
                  <c:v>4.3E-3</c:v>
                </c:pt>
                <c:pt idx="4">
                  <c:v>6.7000000000000002E-3</c:v>
                </c:pt>
                <c:pt idx="5">
                  <c:v>6.7000000000000002E-3</c:v>
                </c:pt>
                <c:pt idx="6">
                  <c:v>6.7000000000000002E-3</c:v>
                </c:pt>
                <c:pt idx="7">
                  <c:v>6.7000000000000002E-3</c:v>
                </c:pt>
                <c:pt idx="8">
                  <c:v>6.7000000000000002E-3</c:v>
                </c:pt>
                <c:pt idx="9">
                  <c:v>6.7000000000000002E-3</c:v>
                </c:pt>
                <c:pt idx="10">
                  <c:v>6.7000000000000002E-3</c:v>
                </c:pt>
                <c:pt idx="11">
                  <c:v>6.7000000000000002E-3</c:v>
                </c:pt>
                <c:pt idx="12">
                  <c:v>0.01</c:v>
                </c:pt>
                <c:pt idx="13">
                  <c:v>1.5100000000000001E-2</c:v>
                </c:pt>
                <c:pt idx="14">
                  <c:v>6.7000000000000002E-3</c:v>
                </c:pt>
                <c:pt idx="15">
                  <c:v>6.7000000000000002E-3</c:v>
                </c:pt>
                <c:pt idx="16">
                  <c:v>6.7000000000000002E-3</c:v>
                </c:pt>
                <c:pt idx="17">
                  <c:v>6.7000000000000002E-3</c:v>
                </c:pt>
                <c:pt idx="18">
                  <c:v>6.7000000000000002E-3</c:v>
                </c:pt>
                <c:pt idx="19">
                  <c:v>6.7000000000000002E-3</c:v>
                </c:pt>
                <c:pt idx="20">
                  <c:v>6.7000000000000002E-3</c:v>
                </c:pt>
                <c:pt idx="21">
                  <c:v>6.7000000000000002E-3</c:v>
                </c:pt>
                <c:pt idx="22">
                  <c:v>6.7000000000000002E-3</c:v>
                </c:pt>
                <c:pt idx="23">
                  <c:v>6.7000000000000002E-3</c:v>
                </c:pt>
                <c:pt idx="24">
                  <c:v>6.7000000000000002E-3</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49018112"/>
        <c:axId val="83017088"/>
      </c:scatterChart>
      <c:valAx>
        <c:axId val="149018112"/>
        <c:scaling>
          <c:orientation val="minMax"/>
        </c:scaling>
        <c:delete val="0"/>
        <c:axPos val="b"/>
        <c:title>
          <c:tx>
            <c:rich>
              <a:bodyPr/>
              <a:lstStyle/>
              <a:p>
                <a:pPr>
                  <a:defRPr sz="1400"/>
                </a:pPr>
                <a:r>
                  <a:rPr lang="en-US" sz="1400"/>
                  <a:t>ID</a:t>
                </a:r>
              </a:p>
            </c:rich>
          </c:tx>
          <c:layout/>
          <c:overlay val="0"/>
        </c:title>
        <c:majorTickMark val="out"/>
        <c:minorTickMark val="none"/>
        <c:tickLblPos val="nextTo"/>
        <c:txPr>
          <a:bodyPr/>
          <a:lstStyle/>
          <a:p>
            <a:pPr>
              <a:defRPr sz="1200"/>
            </a:pPr>
            <a:endParaRPr lang="en-US"/>
          </a:p>
        </c:txPr>
        <c:crossAx val="83017088"/>
        <c:crosses val="autoZero"/>
        <c:crossBetween val="midCat"/>
      </c:valAx>
      <c:valAx>
        <c:axId val="83017088"/>
        <c:scaling>
          <c:orientation val="minMax"/>
          <c:max val="1.6E-2"/>
          <c:min val="0"/>
        </c:scaling>
        <c:delete val="0"/>
        <c:axPos val="l"/>
        <c:majorGridlines/>
        <c:title>
          <c:tx>
            <c:rich>
              <a:bodyPr/>
              <a:lstStyle/>
              <a:p>
                <a:pPr>
                  <a:defRPr sz="1400"/>
                </a:pPr>
                <a:r>
                  <a:rPr lang="en-US" sz="1400"/>
                  <a:t>LER/Chord</a:t>
                </a:r>
              </a:p>
            </c:rich>
          </c:tx>
          <c:layout/>
          <c:overlay val="0"/>
        </c:title>
        <c:numFmt formatCode="General" sourceLinked="1"/>
        <c:majorTickMark val="out"/>
        <c:minorTickMark val="none"/>
        <c:tickLblPos val="nextTo"/>
        <c:txPr>
          <a:bodyPr/>
          <a:lstStyle/>
          <a:p>
            <a:pPr>
              <a:defRPr sz="1200"/>
            </a:pPr>
            <a:endParaRPr lang="en-US"/>
          </a:p>
        </c:txPr>
        <c:crossAx val="14901811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781050</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57150</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38</xdr:row>
          <xdr:rowOff>57150</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57150</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19050</xdr:rowOff>
        </xdr:from>
        <xdr:to>
          <xdr:col>13</xdr:col>
          <xdr:colOff>352425</xdr:colOff>
          <xdr:row>46</xdr:row>
          <xdr:rowOff>95250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133350</xdr:rowOff>
        </xdr:from>
        <xdr:to>
          <xdr:col>6</xdr:col>
          <xdr:colOff>9525</xdr:colOff>
          <xdr:row>53</xdr:row>
          <xdr:rowOff>400050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895350</xdr:colOff>
          <xdr:row>39</xdr:row>
          <xdr:rowOff>476250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133350</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zoomScale="60" zoomScaleNormal="60" zoomScalePageLayoutView="85" workbookViewId="0">
      <selection activeCell="L20" sqref="L20"/>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0" t="s">
        <v>634</v>
      </c>
      <c r="H2" s="271"/>
      <c r="I2" s="272"/>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605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612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8" t="s">
        <v>356</v>
      </c>
      <c r="T40" s="269"/>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627</v>
      </c>
      <c r="N41" s="6"/>
      <c r="O41" s="6"/>
      <c r="P41" s="6"/>
      <c r="Q41" s="6"/>
      <c r="R41" s="6"/>
      <c r="S41" s="146" t="s">
        <v>359</v>
      </c>
      <c r="T41" s="146" t="s">
        <v>360</v>
      </c>
      <c r="U41" s="139" t="s">
        <v>357</v>
      </c>
      <c r="V41" s="139" t="s">
        <v>358</v>
      </c>
      <c r="W41" s="6"/>
      <c r="X41" s="6"/>
      <c r="Y41" s="139" t="s">
        <v>629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630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8"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79"/>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0"/>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620</v>
      </c>
      <c r="X48" s="265" t="s">
        <v>619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633</v>
      </c>
      <c r="B49" s="165">
        <v>14</v>
      </c>
      <c r="C49" s="165">
        <v>14</v>
      </c>
      <c r="D49" s="165">
        <v>14</v>
      </c>
      <c r="E49" s="165">
        <v>14</v>
      </c>
      <c r="F49" s="144"/>
      <c r="G49" s="144"/>
      <c r="H49" s="144"/>
      <c r="I49" s="144"/>
      <c r="J49" s="166"/>
      <c r="K49" s="126"/>
      <c r="L49" s="246"/>
      <c r="M49" s="157" t="s">
        <v>628</v>
      </c>
      <c r="N49" s="158">
        <v>0.05</v>
      </c>
      <c r="O49" s="159">
        <v>8.5000000000000006E-2</v>
      </c>
      <c r="P49" s="126" t="s">
        <v>400</v>
      </c>
      <c r="Q49" s="157" t="s">
        <v>628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616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617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618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632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4" t="s">
        <v>354</v>
      </c>
      <c r="B67" s="275"/>
      <c r="C67" s="275"/>
      <c r="D67" s="3"/>
      <c r="E67" s="263">
        <v>1</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6" t="s">
        <v>46</v>
      </c>
      <c r="B68" s="276"/>
      <c r="C68" s="276"/>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7" t="s">
        <v>377</v>
      </c>
      <c r="B69" s="277"/>
      <c r="C69" s="277"/>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3"/>
      <c r="B71" s="273"/>
      <c r="C71" s="273"/>
      <c r="D71" s="273"/>
      <c r="E71" s="273"/>
      <c r="F71" s="273"/>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tr">
        <f>IF(B4="","",IF(B4=" ","",B4&amp;B5&amp;$B$7))</f>
        <v>Combined.csv</v>
      </c>
      <c r="C72" s="134" t="str">
        <f t="shared" ref="C72:AY72" si="2">IF(C4="","",IF(C4=" ","",C4&amp;C5&amp;$B$7))</f>
        <v>Beta1_30.csv</v>
      </c>
      <c r="D72" s="134" t="str">
        <f t="shared" si="2"/>
        <v>Beta1_45.csv</v>
      </c>
      <c r="E72" s="134" t="str">
        <f t="shared" si="2"/>
        <v>Beta1_60.csv</v>
      </c>
      <c r="F72" s="134" t="str">
        <f t="shared" si="2"/>
        <v>Beta1_70.csv</v>
      </c>
      <c r="G72" s="134" t="str">
        <f t="shared" si="2"/>
        <v>Tmax_06.csv</v>
      </c>
      <c r="H72" s="134" t="str">
        <f t="shared" si="2"/>
        <v>Tmax_08.csv</v>
      </c>
      <c r="I72" s="134" t="str">
        <f t="shared" si="2"/>
        <v>Tmax_10.csv</v>
      </c>
      <c r="J72" s="134" t="str">
        <f t="shared" si="2"/>
        <v>Tmax_12.csv</v>
      </c>
      <c r="K72" s="134" t="str">
        <f t="shared" si="2"/>
        <v>Tmax_15.csv</v>
      </c>
      <c r="L72" s="134" t="str">
        <f t="shared" si="2"/>
        <v>Solidity_0.75.csv</v>
      </c>
      <c r="M72" s="134" t="str">
        <f t="shared" si="2"/>
        <v>Solidity_1.00.csv</v>
      </c>
      <c r="N72" s="134" t="str">
        <f t="shared" si="2"/>
        <v>Solidity_1.25.csv</v>
      </c>
      <c r="O72" s="134" t="str">
        <f t="shared" si="2"/>
        <v>Solidity_1.50.csv</v>
      </c>
      <c r="P72" s="134" t="str">
        <f t="shared" si="2"/>
        <v>Solidity_2.00.csv</v>
      </c>
      <c r="Q72" s="134" t="str">
        <f t="shared" si="2"/>
        <v>Solidity_0.50.csv</v>
      </c>
      <c r="R72" s="134" t="str">
        <f t="shared" si="2"/>
        <v>Solidity_0.csv</v>
      </c>
      <c r="S72" s="134" t="str">
        <f t="shared" si="2"/>
        <v>Beta1_0.csv</v>
      </c>
      <c r="T72" s="134" t="str">
        <f t="shared" si="2"/>
        <v/>
      </c>
      <c r="U72" s="134" t="str">
        <f t="shared" si="2"/>
        <v/>
      </c>
      <c r="V72" s="134" t="str">
        <f t="shared" si="2"/>
        <v/>
      </c>
      <c r="W72" s="134" t="str">
        <f t="shared" si="2"/>
        <v/>
      </c>
      <c r="X72" s="134" t="str">
        <f t="shared" si="2"/>
        <v/>
      </c>
      <c r="Y72" s="134" t="str">
        <f t="shared" si="2"/>
        <v/>
      </c>
      <c r="Z72" s="134" t="str">
        <f t="shared" si="2"/>
        <v/>
      </c>
      <c r="AA72" s="134" t="str">
        <f t="shared" si="2"/>
        <v/>
      </c>
      <c r="AB72" s="134" t="str">
        <f t="shared" si="2"/>
        <v/>
      </c>
      <c r="AC72" s="134" t="str">
        <f t="shared" si="2"/>
        <v/>
      </c>
      <c r="AD72" s="134" t="str">
        <f t="shared" si="2"/>
        <v/>
      </c>
      <c r="AE72" s="134" t="str">
        <f t="shared" si="2"/>
        <v/>
      </c>
      <c r="AF72" s="134" t="str">
        <f t="shared" si="2"/>
        <v/>
      </c>
      <c r="AG72" s="134" t="str">
        <f t="shared" si="2"/>
        <v/>
      </c>
      <c r="AH72" s="134" t="str">
        <f t="shared" si="2"/>
        <v/>
      </c>
      <c r="AI72" s="134" t="str">
        <f t="shared" si="2"/>
        <v/>
      </c>
      <c r="AJ72" s="134" t="str">
        <f t="shared" si="2"/>
        <v/>
      </c>
      <c r="AK72" s="134" t="str">
        <f t="shared" si="2"/>
        <v/>
      </c>
      <c r="AL72" s="134" t="str">
        <f t="shared" si="2"/>
        <v/>
      </c>
      <c r="AM72" s="134" t="str">
        <f t="shared" si="2"/>
        <v/>
      </c>
      <c r="AN72" s="134" t="str">
        <f t="shared" si="2"/>
        <v/>
      </c>
      <c r="AO72" s="134" t="str">
        <f t="shared" si="2"/>
        <v/>
      </c>
      <c r="AP72" s="134" t="str">
        <f t="shared" si="2"/>
        <v/>
      </c>
      <c r="AQ72" s="134" t="str">
        <f t="shared" si="2"/>
        <v/>
      </c>
      <c r="AR72" s="134" t="str">
        <f t="shared" si="2"/>
        <v/>
      </c>
      <c r="AS72" s="134" t="str">
        <f t="shared" si="2"/>
        <v/>
      </c>
      <c r="AT72" s="134" t="str">
        <f t="shared" si="2"/>
        <v/>
      </c>
      <c r="AU72" s="134" t="str">
        <f t="shared" si="2"/>
        <v/>
      </c>
      <c r="AV72" s="134" t="str">
        <f t="shared" si="2"/>
        <v/>
      </c>
      <c r="AW72" s="134" t="str">
        <f t="shared" si="2"/>
        <v/>
      </c>
      <c r="AX72" s="134" t="str">
        <f t="shared" si="2"/>
        <v/>
      </c>
      <c r="AY72" s="134" t="str">
        <f t="shared" si="2"/>
        <v/>
      </c>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121</v>
      </c>
      <c r="C74" s="90">
        <v>13</v>
      </c>
      <c r="D74" s="90">
        <v>25</v>
      </c>
      <c r="E74" s="90">
        <v>36</v>
      </c>
      <c r="F74" s="90">
        <v>20</v>
      </c>
      <c r="G74" s="90">
        <v>25</v>
      </c>
      <c r="H74" s="90">
        <v>5</v>
      </c>
      <c r="I74" s="90">
        <v>64</v>
      </c>
      <c r="J74" s="90">
        <v>6</v>
      </c>
      <c r="K74" s="90">
        <v>5</v>
      </c>
      <c r="L74" s="90">
        <v>10</v>
      </c>
      <c r="M74" s="90">
        <v>30</v>
      </c>
      <c r="N74" s="90">
        <v>9</v>
      </c>
      <c r="O74" s="90">
        <v>39</v>
      </c>
      <c r="P74" s="90">
        <v>2</v>
      </c>
      <c r="Q74" s="90">
        <v>4</v>
      </c>
      <c r="R74" s="90">
        <v>11</v>
      </c>
      <c r="S74" s="90">
        <v>11</v>
      </c>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f>50-COUNTBLANK(B72:AY72)</f>
        <v>18</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3">IF(FIND("$",ADDRESS(ROW(),COLUMN()),2)=3,MID(ADDRESS(ROW(),COLUMN()),2,1),MID(ADDRESS(ROW(),COLUMN()),2,2))</f>
        <v>C</v>
      </c>
      <c r="D76" s="90" t="str">
        <f t="shared" si="3"/>
        <v>D</v>
      </c>
      <c r="E76" s="90" t="str">
        <f t="shared" si="3"/>
        <v>E</v>
      </c>
      <c r="F76" s="90" t="str">
        <f t="shared" si="3"/>
        <v>F</v>
      </c>
      <c r="G76" s="90" t="str">
        <f t="shared" si="3"/>
        <v>G</v>
      </c>
      <c r="H76" s="90" t="str">
        <f t="shared" si="3"/>
        <v>H</v>
      </c>
      <c r="I76" s="90" t="str">
        <f t="shared" si="3"/>
        <v>I</v>
      </c>
      <c r="J76" s="90" t="str">
        <f t="shared" si="3"/>
        <v>J</v>
      </c>
      <c r="K76" s="90" t="str">
        <f t="shared" si="3"/>
        <v>K</v>
      </c>
      <c r="L76" s="90" t="str">
        <f t="shared" si="3"/>
        <v>L</v>
      </c>
      <c r="M76" s="90" t="str">
        <f t="shared" si="3"/>
        <v>M</v>
      </c>
      <c r="N76" s="90" t="str">
        <f t="shared" si="3"/>
        <v>N</v>
      </c>
      <c r="O76" s="90" t="str">
        <f t="shared" si="3"/>
        <v>O</v>
      </c>
      <c r="P76" s="90" t="str">
        <f t="shared" si="3"/>
        <v>P</v>
      </c>
      <c r="Q76" s="90" t="str">
        <f t="shared" si="3"/>
        <v>Q</v>
      </c>
      <c r="R76" s="90" t="str">
        <f t="shared" si="3"/>
        <v>R</v>
      </c>
      <c r="S76" s="90" t="str">
        <f t="shared" si="3"/>
        <v>S</v>
      </c>
      <c r="T76" s="90" t="str">
        <f t="shared" si="3"/>
        <v>T</v>
      </c>
      <c r="U76" s="90" t="str">
        <f t="shared" si="3"/>
        <v>U</v>
      </c>
      <c r="V76" s="90" t="str">
        <f t="shared" si="3"/>
        <v>V</v>
      </c>
      <c r="W76" s="90" t="str">
        <f t="shared" si="3"/>
        <v>W</v>
      </c>
      <c r="X76" s="90" t="str">
        <f t="shared" si="3"/>
        <v>X</v>
      </c>
      <c r="Y76" s="90" t="str">
        <f t="shared" si="3"/>
        <v>Y</v>
      </c>
      <c r="Z76" s="90" t="str">
        <f t="shared" si="3"/>
        <v>Z</v>
      </c>
      <c r="AA76" s="90" t="str">
        <f t="shared" si="3"/>
        <v>AA</v>
      </c>
      <c r="AB76" s="90" t="str">
        <f t="shared" si="3"/>
        <v>AB</v>
      </c>
      <c r="AC76" s="90" t="str">
        <f t="shared" si="3"/>
        <v>AC</v>
      </c>
      <c r="AD76" s="90" t="str">
        <f t="shared" si="3"/>
        <v>AD</v>
      </c>
      <c r="AE76" s="90" t="str">
        <f t="shared" si="3"/>
        <v>AE</v>
      </c>
      <c r="AF76" s="90" t="str">
        <f t="shared" si="3"/>
        <v>AF</v>
      </c>
      <c r="AG76" s="90" t="str">
        <f t="shared" si="3"/>
        <v>AG</v>
      </c>
      <c r="AH76" s="90" t="str">
        <f t="shared" si="3"/>
        <v>AH</v>
      </c>
      <c r="AI76" s="90" t="str">
        <f t="shared" si="3"/>
        <v>AI</v>
      </c>
      <c r="AJ76" s="90" t="str">
        <f t="shared" si="3"/>
        <v>AJ</v>
      </c>
      <c r="AK76" s="90" t="str">
        <f t="shared" si="3"/>
        <v>AK</v>
      </c>
      <c r="AL76" s="90" t="str">
        <f t="shared" si="3"/>
        <v>AL</v>
      </c>
      <c r="AM76" s="90" t="str">
        <f t="shared" si="3"/>
        <v>AM</v>
      </c>
      <c r="AN76" s="90" t="str">
        <f t="shared" si="3"/>
        <v>AN</v>
      </c>
      <c r="AO76" s="90" t="str">
        <f t="shared" si="3"/>
        <v>AO</v>
      </c>
      <c r="AP76" s="90" t="str">
        <f t="shared" si="3"/>
        <v>AP</v>
      </c>
      <c r="AQ76" s="90" t="str">
        <f t="shared" si="3"/>
        <v>AQ</v>
      </c>
      <c r="AR76" s="90" t="str">
        <f t="shared" si="3"/>
        <v>AR</v>
      </c>
      <c r="AS76" s="90" t="str">
        <f t="shared" si="3"/>
        <v>AS</v>
      </c>
      <c r="AT76" s="90" t="str">
        <f t="shared" si="3"/>
        <v>AT</v>
      </c>
      <c r="AU76" s="90" t="str">
        <f t="shared" si="3"/>
        <v>AU</v>
      </c>
      <c r="AV76" s="90" t="str">
        <f t="shared" si="3"/>
        <v>AV</v>
      </c>
      <c r="AW76" s="90" t="str">
        <f t="shared" si="3"/>
        <v>AW</v>
      </c>
      <c r="AX76" s="90" t="str">
        <f t="shared" si="3"/>
        <v>AX</v>
      </c>
      <c r="AY76" s="90" t="str">
        <f t="shared" si="3"/>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781050</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57150</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514350</xdr:colOff>
                    <xdr:row>38</xdr:row>
                    <xdr:rowOff>57150</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57150</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19050</xdr:rowOff>
                  </from>
                  <to>
                    <xdr:col>13</xdr:col>
                    <xdr:colOff>352425</xdr:colOff>
                    <xdr:row>46</xdr:row>
                    <xdr:rowOff>95250</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133350</xdr:rowOff>
                  </from>
                  <to>
                    <xdr:col>6</xdr:col>
                    <xdr:colOff>9525</xdr:colOff>
                    <xdr:row>53</xdr:row>
                    <xdr:rowOff>400050</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895350</xdr:colOff>
                    <xdr:row>39</xdr:row>
                    <xdr:rowOff>476250</xdr:rowOff>
                  </from>
                  <to>
                    <xdr:col>23</xdr:col>
                    <xdr:colOff>914400</xdr:colOff>
                    <xdr:row>43</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tabSelected="1" zoomScale="65" workbookViewId="0">
      <pane xSplit="1" topLeftCell="BH1" activePane="topRight" state="frozen"/>
      <selection pane="topRight" activeCell="BI12" sqref="BI12"/>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4" t="s">
        <v>354</v>
      </c>
      <c r="B2" s="285"/>
      <c r="C2" s="285"/>
      <c r="D2" s="286"/>
      <c r="E2" s="286"/>
      <c r="F2" s="286"/>
      <c r="G2" s="286"/>
      <c r="H2" s="286"/>
      <c r="I2" s="286"/>
      <c r="J2" s="286"/>
      <c r="K2" s="286"/>
      <c r="L2" s="286"/>
      <c r="M2" s="286"/>
      <c r="N2" s="286"/>
      <c r="O2" s="286"/>
      <c r="P2" s="286"/>
      <c r="Q2" s="286"/>
      <c r="R2" s="286"/>
      <c r="S2" s="286"/>
      <c r="T2" s="286"/>
      <c r="U2" s="286"/>
      <c r="V2" s="286"/>
      <c r="W2" s="286"/>
      <c r="X2" s="286"/>
      <c r="Y2" s="286"/>
      <c r="Z2" s="286"/>
      <c r="AA2" s="286"/>
      <c r="AB2" s="286"/>
      <c r="AC2" s="286"/>
      <c r="AD2" s="286"/>
      <c r="AE2" s="286"/>
      <c r="AF2" s="286"/>
      <c r="AG2" s="286"/>
      <c r="AH2" s="286"/>
      <c r="AI2" s="286"/>
      <c r="AJ2" s="286"/>
      <c r="AK2" s="286"/>
      <c r="AL2" s="286"/>
      <c r="AM2" s="286"/>
      <c r="AN2" s="286"/>
      <c r="AO2" s="286"/>
      <c r="AP2" s="286"/>
      <c r="AQ2" s="286"/>
      <c r="AR2" s="286"/>
      <c r="AS2" s="286"/>
      <c r="AT2" s="286"/>
      <c r="AU2" s="286"/>
      <c r="AV2" s="286"/>
      <c r="AW2" s="286"/>
      <c r="AX2" s="286"/>
      <c r="AY2" s="286"/>
      <c r="AZ2" s="286"/>
      <c r="BA2" s="286"/>
      <c r="BB2" s="286"/>
      <c r="BC2" s="286"/>
      <c r="BD2" s="286"/>
      <c r="BE2" s="286"/>
      <c r="BF2" s="286"/>
      <c r="BG2" s="286"/>
      <c r="BH2" s="286"/>
      <c r="BI2" s="286"/>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7" t="s">
        <v>46</v>
      </c>
      <c r="B3" s="287"/>
      <c r="C3" s="287"/>
      <c r="D3" s="286"/>
      <c r="E3" s="286"/>
      <c r="F3" s="286"/>
      <c r="G3" s="286"/>
      <c r="H3" s="286"/>
      <c r="I3" s="286"/>
      <c r="J3" s="286"/>
      <c r="K3" s="286"/>
      <c r="L3" s="286"/>
      <c r="M3" s="286"/>
      <c r="N3" s="286"/>
      <c r="O3" s="286"/>
      <c r="P3" s="286"/>
      <c r="Q3" s="286"/>
      <c r="R3" s="286"/>
      <c r="S3" s="286"/>
      <c r="T3" s="286"/>
      <c r="U3" s="286"/>
      <c r="V3" s="286"/>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286"/>
      <c r="AV3" s="286"/>
      <c r="AW3" s="286"/>
      <c r="AX3" s="286"/>
      <c r="AY3" s="286"/>
      <c r="AZ3" s="286"/>
      <c r="BA3" s="286"/>
      <c r="BB3" s="286"/>
      <c r="BC3" s="286"/>
      <c r="BD3" s="286"/>
      <c r="BE3" s="286"/>
      <c r="BF3" s="286"/>
      <c r="BG3" s="286"/>
      <c r="BH3" s="286"/>
      <c r="BI3" s="286"/>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8" t="s">
        <v>377</v>
      </c>
      <c r="B4" s="288"/>
      <c r="C4" s="288"/>
      <c r="D4" s="286"/>
      <c r="E4" s="286"/>
      <c r="F4" s="286"/>
      <c r="G4" s="286"/>
      <c r="H4" s="286"/>
      <c r="I4" s="286"/>
      <c r="J4" s="286"/>
      <c r="K4" s="286"/>
      <c r="L4" s="286"/>
      <c r="M4" s="286"/>
      <c r="N4" s="286"/>
      <c r="O4" s="286"/>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c r="BA4" s="286"/>
      <c r="BB4" s="286"/>
      <c r="BC4" s="286"/>
      <c r="BD4" s="286"/>
      <c r="BE4" s="286"/>
      <c r="BF4" s="286"/>
      <c r="BG4" s="286"/>
      <c r="BH4" s="286"/>
      <c r="BI4" s="286"/>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5</v>
      </c>
      <c r="C10" s="192">
        <f t="shared" ca="1" si="0"/>
        <v>1</v>
      </c>
      <c r="D10" s="192">
        <f t="shared" ca="1" si="0"/>
        <v>1</v>
      </c>
      <c r="E10" s="192">
        <f t="shared" ca="1" si="0"/>
        <v>1</v>
      </c>
      <c r="F10" s="192">
        <f t="shared" ca="1" si="0"/>
        <v>1</v>
      </c>
      <c r="G10" s="192">
        <f t="shared" ca="1" si="0"/>
        <v>5</v>
      </c>
      <c r="H10" s="192">
        <f t="shared" ca="1" si="0"/>
        <v>2</v>
      </c>
      <c r="I10" s="192">
        <f t="shared" ca="1" si="0"/>
        <v>6</v>
      </c>
      <c r="J10" s="192">
        <f t="shared" ca="1" si="0"/>
        <v>2</v>
      </c>
      <c r="K10" s="192">
        <f t="shared" ca="1" si="0"/>
        <v>2</v>
      </c>
      <c r="L10" s="192">
        <f t="shared" ca="1" si="0"/>
        <v>2</v>
      </c>
      <c r="M10" s="192">
        <f t="shared" ca="1" si="0"/>
        <v>2</v>
      </c>
      <c r="N10" s="192">
        <f t="shared" ca="1" si="0"/>
        <v>2</v>
      </c>
      <c r="O10" s="192">
        <f t="shared" ca="1" si="0"/>
        <v>2</v>
      </c>
      <c r="P10" s="192">
        <f t="shared" ca="1" si="0"/>
        <v>2</v>
      </c>
      <c r="Q10" s="192">
        <f t="shared" ca="1" si="0"/>
        <v>1</v>
      </c>
      <c r="R10" s="192">
        <f t="shared" ca="1" si="0"/>
        <v>1</v>
      </c>
      <c r="S10" s="192">
        <f t="shared" ca="1" si="0"/>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581</v>
      </c>
      <c r="U33" s="131"/>
      <c r="V33" s="131"/>
      <c r="W33" s="131"/>
      <c r="X33" s="131"/>
      <c r="Y33" s="131"/>
      <c r="Z33" s="131"/>
      <c r="AA33" s="131"/>
      <c r="AB33" s="131"/>
      <c r="AC33" s="131"/>
      <c r="AD33" s="131" t="s">
        <v>434</v>
      </c>
      <c r="AE33" s="131" t="s">
        <v>611</v>
      </c>
      <c r="AF33" s="131" t="s">
        <v>523</v>
      </c>
      <c r="AG33" s="131"/>
      <c r="AH33" s="131"/>
      <c r="AI33" s="131"/>
      <c r="AJ33" s="131"/>
      <c r="AK33" s="131" t="s">
        <v>436</v>
      </c>
      <c r="AL33" s="131" t="s">
        <v>436</v>
      </c>
      <c r="AM33" s="131" t="s">
        <v>548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611</v>
      </c>
      <c r="BK33" s="131" t="s">
        <v>555</v>
      </c>
      <c r="BL33" s="131"/>
      <c r="BM33" s="131" t="s">
        <v>594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586</v>
      </c>
      <c r="CG33" s="131"/>
      <c r="CH33" s="131" t="s">
        <v>573</v>
      </c>
      <c r="CI33" s="131"/>
      <c r="CJ33" s="131" t="s">
        <v>553</v>
      </c>
      <c r="CK33" s="131" t="s">
        <v>554</v>
      </c>
      <c r="CL33" s="131" t="s">
        <v>551</v>
      </c>
      <c r="CM33" s="131" t="s">
        <v>521</v>
      </c>
      <c r="CN33" s="131"/>
      <c r="CO33" s="131" t="s">
        <v>518</v>
      </c>
      <c r="CP33" s="131"/>
      <c r="CQ33" s="131" t="s">
        <v>435</v>
      </c>
      <c r="CR33" s="131" t="s">
        <v>555</v>
      </c>
      <c r="CS33" s="131" t="s">
        <v>518</v>
      </c>
      <c r="CT33" s="131"/>
      <c r="CU33" s="131" t="s">
        <v>519</v>
      </c>
      <c r="CV33" s="131" t="s">
        <v>552</v>
      </c>
      <c r="CW33" s="132"/>
      <c r="CX33" s="22"/>
      <c r="CY33" s="22"/>
      <c r="CZ33" s="22"/>
    </row>
    <row r="34" spans="1:104" ht="20.100000000000001"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100000000000001"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574</v>
      </c>
      <c r="R42" s="131" t="s">
        <v>436</v>
      </c>
      <c r="S42" s="131" t="s">
        <v>573</v>
      </c>
      <c r="T42" s="131" t="s">
        <v>436</v>
      </c>
      <c r="U42" s="131"/>
      <c r="V42" s="131" t="s">
        <v>567</v>
      </c>
      <c r="W42" s="131"/>
      <c r="X42" s="131"/>
      <c r="Y42" s="131"/>
      <c r="Z42" s="131"/>
      <c r="AA42" s="131"/>
      <c r="AB42" s="131"/>
      <c r="AC42" s="131"/>
      <c r="AD42" s="131"/>
      <c r="AE42" s="131"/>
      <c r="AF42" s="131"/>
      <c r="AG42" s="131" t="s">
        <v>595</v>
      </c>
      <c r="AH42" s="131" t="s">
        <v>596</v>
      </c>
      <c r="AI42" s="131"/>
      <c r="AJ42" s="131" t="s">
        <v>597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100000000000001"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133350</xdr:rowOff>
                  </from>
                  <to>
                    <xdr:col>12</xdr:col>
                    <xdr:colOff>695325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532</v>
      </c>
      <c r="AC53" s="80">
        <v>0.3</v>
      </c>
      <c r="AD53" s="80">
        <v>-25</v>
      </c>
      <c r="BZ53" s="80">
        <v>20</v>
      </c>
      <c r="EF53" s="80">
        <v>-1.5</v>
      </c>
    </row>
    <row r="54" spans="1:256" s="80" customFormat="1" ht="23.25">
      <c r="A54" s="222" t="s">
        <v>45</v>
      </c>
      <c r="B54" s="143"/>
      <c r="C54" s="143"/>
      <c r="AB54" s="80" t="s">
        <v>533</v>
      </c>
      <c r="AC54" s="80">
        <v>1</v>
      </c>
      <c r="AD54" s="80">
        <f>-2*AD53*AC53</f>
        <v>15</v>
      </c>
      <c r="BZ54" s="80">
        <v>-30</v>
      </c>
      <c r="EF54" s="80">
        <v>1</v>
      </c>
    </row>
    <row r="55" spans="1:256" s="80" customFormat="1">
      <c r="A55" s="281" t="s">
        <v>354</v>
      </c>
      <c r="B55" s="281"/>
      <c r="C55" s="281"/>
      <c r="D55" s="281"/>
      <c r="AD55" s="80">
        <f>AC54+AD53*AC53^2</f>
        <v>-1.25</v>
      </c>
      <c r="BZ55" s="80">
        <v>7</v>
      </c>
    </row>
    <row r="56" spans="1:256" s="80" customFormat="1">
      <c r="A56" s="282" t="s">
        <v>46</v>
      </c>
      <c r="B56" s="282"/>
      <c r="C56" s="282"/>
      <c r="D56" s="282"/>
    </row>
    <row r="57" spans="1:256" s="80" customFormat="1">
      <c r="A57" s="283" t="s">
        <v>371</v>
      </c>
      <c r="B57" s="283"/>
      <c r="C57" s="283"/>
      <c r="D57" s="283"/>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600</v>
      </c>
      <c r="BJ1" s="259" t="s">
        <v>601</v>
      </c>
      <c r="BL1" s="257" t="s">
        <v>505</v>
      </c>
      <c r="BM1" s="257" t="s">
        <v>506</v>
      </c>
      <c r="BO1" s="257" t="s">
        <v>598</v>
      </c>
      <c r="BP1" s="259" t="s">
        <v>599</v>
      </c>
      <c r="BR1" s="257" t="s">
        <v>582</v>
      </c>
      <c r="BS1" s="259" t="s">
        <v>583</v>
      </c>
      <c r="BU1" s="257" t="s">
        <v>512</v>
      </c>
      <c r="BV1" s="257" t="s">
        <v>513</v>
      </c>
      <c r="BX1" s="257" t="s">
        <v>584</v>
      </c>
      <c r="BZ1" s="12" t="s">
        <v>524</v>
      </c>
      <c r="CB1" s="12" t="s">
        <v>526</v>
      </c>
      <c r="CC1" s="12" t="s">
        <v>527</v>
      </c>
      <c r="CD1" s="12" t="s">
        <v>528</v>
      </c>
      <c r="CE1" s="12" t="s">
        <v>529</v>
      </c>
      <c r="CF1" s="12" t="s">
        <v>530</v>
      </c>
      <c r="CG1" s="12" t="s">
        <v>531</v>
      </c>
      <c r="CI1" t="s">
        <v>545</v>
      </c>
      <c r="CJ1" t="s">
        <v>546</v>
      </c>
      <c r="CK1" s="256" t="s">
        <v>550</v>
      </c>
      <c r="CL1" t="s">
        <v>547</v>
      </c>
      <c r="CN1" s="256" t="s">
        <v>585</v>
      </c>
      <c r="CO1" s="256" t="s">
        <v>578</v>
      </c>
      <c r="CP1" s="257" t="s">
        <v>579</v>
      </c>
      <c r="CQ1" s="257" t="s">
        <v>580</v>
      </c>
      <c r="CR1" s="257" t="s">
        <v>591</v>
      </c>
      <c r="CT1" s="257" t="s">
        <v>549</v>
      </c>
      <c r="CU1" s="257" t="s">
        <v>576</v>
      </c>
      <c r="CW1" s="256" t="s">
        <v>556</v>
      </c>
      <c r="CY1" s="256" t="s">
        <v>557</v>
      </c>
      <c r="DA1" s="257" t="s">
        <v>558</v>
      </c>
      <c r="DB1" s="257" t="s">
        <v>559</v>
      </c>
      <c r="DC1" s="257" t="s">
        <v>560</v>
      </c>
      <c r="DD1" s="257" t="s">
        <v>561</v>
      </c>
      <c r="DE1" s="257" t="s">
        <v>562</v>
      </c>
      <c r="DF1" s="257" t="s">
        <v>563</v>
      </c>
      <c r="DH1" s="257" t="s">
        <v>564</v>
      </c>
      <c r="DI1" s="257" t="s">
        <v>565</v>
      </c>
      <c r="DJ1" s="257" t="s">
        <v>566</v>
      </c>
      <c r="DL1" s="257" t="s">
        <v>571</v>
      </c>
      <c r="DM1" s="257" t="s">
        <v>568</v>
      </c>
      <c r="DN1" s="257" t="s">
        <v>569</v>
      </c>
      <c r="DO1" s="257" t="s">
        <v>570</v>
      </c>
      <c r="DP1" s="257" t="s">
        <v>572</v>
      </c>
      <c r="DQ1" s="257" t="s">
        <v>587</v>
      </c>
      <c r="DS1" s="256" t="s">
        <v>575</v>
      </c>
      <c r="DU1" s="256" t="s">
        <v>577</v>
      </c>
      <c r="DW1" s="256" t="s">
        <v>588</v>
      </c>
      <c r="DX1" s="256" t="s">
        <v>589</v>
      </c>
      <c r="DY1" s="256" t="s">
        <v>590</v>
      </c>
      <c r="EA1" s="261" t="s">
        <v>592</v>
      </c>
      <c r="EB1" t="s">
        <v>593</v>
      </c>
      <c r="EC1" s="256" t="s">
        <v>607</v>
      </c>
      <c r="ED1" s="257" t="s">
        <v>610</v>
      </c>
      <c r="EE1" s="256" t="s">
        <v>602</v>
      </c>
      <c r="EF1" s="256" t="s">
        <v>609</v>
      </c>
      <c r="EH1" s="257" t="s">
        <v>608</v>
      </c>
      <c r="EJ1" s="256" t="s">
        <v>608</v>
      </c>
      <c r="EK1" s="256" t="s">
        <v>608</v>
      </c>
      <c r="EL1" s="256" t="s">
        <v>603</v>
      </c>
      <c r="EM1" s="256" t="s">
        <v>604</v>
      </c>
      <c r="EN1" s="256" t="s">
        <v>606</v>
      </c>
      <c r="EO1" s="256" t="s">
        <v>613</v>
      </c>
      <c r="EQ1" s="256" t="s">
        <v>614</v>
      </c>
      <c r="ER1" s="256" t="s">
        <v>615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25" sqref="D25"/>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workbookViewId="0">
      <selection activeCell="D37" sqref="D37"/>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622</v>
      </c>
      <c r="B32" s="79">
        <v>41095</v>
      </c>
      <c r="C32" t="s">
        <v>621</v>
      </c>
      <c r="D32" s="7" t="s">
        <v>624</v>
      </c>
    </row>
    <row r="33" spans="4:4">
      <c r="D33" s="7" t="s">
        <v>623</v>
      </c>
    </row>
    <row r="34" spans="4:4">
      <c r="D34" s="7" t="s">
        <v>625</v>
      </c>
    </row>
    <row r="35" spans="4:4">
      <c r="D35" s="7" t="s">
        <v>626</v>
      </c>
    </row>
    <row r="36" spans="4:4">
      <c r="D36" s="7" t="s">
        <v>631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1"/>
  </sheetPr>
  <dimension ref="A1:Q122"/>
  <sheetViews>
    <sheetView workbookViewId="0">
      <selection activeCell="Q122" sqref="Q12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1" spans="1:17">
      <c r="A11">
        <v>30</v>
      </c>
      <c r="B11">
        <v>1</v>
      </c>
      <c r="C11" t="s">
        <v>511</v>
      </c>
      <c r="D11">
        <v>6.7000000000000002E-3</v>
      </c>
      <c r="E11">
        <v>1.5E-3</v>
      </c>
      <c r="F11">
        <v>0.1</v>
      </c>
      <c r="G11">
        <v>4</v>
      </c>
      <c r="I11">
        <v>4.5999999999999996</v>
      </c>
      <c r="J11">
        <v>9.5</v>
      </c>
      <c r="K11">
        <v>22.8</v>
      </c>
      <c r="L11">
        <v>15.6</v>
      </c>
      <c r="M11">
        <v>0.75600000000000001</v>
      </c>
      <c r="N11">
        <v>1.0720000000000001</v>
      </c>
      <c r="O11">
        <v>-3</v>
      </c>
      <c r="P11">
        <v>0</v>
      </c>
      <c r="Q11">
        <v>1.2999999999999999E-2</v>
      </c>
    </row>
    <row r="12" spans="1:17">
      <c r="A12">
        <v>30</v>
      </c>
      <c r="B12">
        <v>1.25</v>
      </c>
      <c r="C12" t="s">
        <v>511</v>
      </c>
      <c r="D12">
        <v>6.7000000000000002E-3</v>
      </c>
      <c r="E12">
        <v>1.5E-3</v>
      </c>
      <c r="F12">
        <v>0.1</v>
      </c>
      <c r="G12">
        <v>4</v>
      </c>
      <c r="I12">
        <v>4.5999999999999996</v>
      </c>
      <c r="J12">
        <v>9.5</v>
      </c>
      <c r="K12">
        <v>22.8</v>
      </c>
      <c r="L12">
        <v>15.6</v>
      </c>
      <c r="M12">
        <v>0.72260000000000002</v>
      </c>
      <c r="N12">
        <v>1.115</v>
      </c>
      <c r="O12">
        <v>-3</v>
      </c>
      <c r="P12">
        <v>0</v>
      </c>
      <c r="Q12">
        <v>1.2999999999999999E-2</v>
      </c>
    </row>
    <row r="13" spans="1:17">
      <c r="A13">
        <v>30</v>
      </c>
      <c r="B13">
        <v>1.5</v>
      </c>
      <c r="C13" t="s">
        <v>511</v>
      </c>
      <c r="D13">
        <v>6.7000000000000002E-3</v>
      </c>
      <c r="E13">
        <v>1.5E-3</v>
      </c>
      <c r="F13">
        <v>0.1</v>
      </c>
      <c r="G13">
        <v>4</v>
      </c>
      <c r="I13">
        <v>4.5999999999999996</v>
      </c>
      <c r="J13">
        <v>9.5</v>
      </c>
      <c r="K13">
        <v>22.8</v>
      </c>
      <c r="L13">
        <v>15.6</v>
      </c>
      <c r="M13">
        <v>0.68799999999999994</v>
      </c>
      <c r="N13">
        <v>1.163</v>
      </c>
      <c r="O13">
        <v>-4</v>
      </c>
      <c r="P13">
        <v>-1.5</v>
      </c>
      <c r="Q13">
        <v>1.4E-2</v>
      </c>
    </row>
    <row r="14" spans="1:17">
      <c r="A14">
        <v>45</v>
      </c>
      <c r="B14">
        <v>1.5</v>
      </c>
      <c r="C14" t="s">
        <v>511</v>
      </c>
      <c r="D14">
        <v>6.7000000000000002E-3</v>
      </c>
      <c r="E14">
        <v>1.5E-3</v>
      </c>
      <c r="F14">
        <v>0.1</v>
      </c>
      <c r="G14">
        <v>4</v>
      </c>
      <c r="I14">
        <v>4.5999999999999996</v>
      </c>
      <c r="J14">
        <v>9.5</v>
      </c>
      <c r="K14">
        <v>22.8</v>
      </c>
      <c r="L14">
        <v>15.6</v>
      </c>
      <c r="M14">
        <v>0.56399999999999995</v>
      </c>
      <c r="N14">
        <v>1.1619999999999999</v>
      </c>
      <c r="O14">
        <v>-1</v>
      </c>
      <c r="P14">
        <v>2</v>
      </c>
      <c r="Q14">
        <v>1.15E-2</v>
      </c>
    </row>
    <row r="15" spans="1:17">
      <c r="A15">
        <v>60</v>
      </c>
      <c r="B15">
        <v>0.5</v>
      </c>
      <c r="C15" t="s">
        <v>511</v>
      </c>
      <c r="D15">
        <v>6.7000000000000002E-3</v>
      </c>
      <c r="E15">
        <v>1.5E-3</v>
      </c>
      <c r="F15">
        <v>0.1</v>
      </c>
      <c r="G15">
        <v>4</v>
      </c>
      <c r="I15">
        <v>4.5999999999999996</v>
      </c>
      <c r="J15">
        <v>9.5</v>
      </c>
      <c r="K15">
        <v>22.8</v>
      </c>
      <c r="L15">
        <v>15.6</v>
      </c>
      <c r="M15">
        <v>0.61799999999999999</v>
      </c>
      <c r="N15">
        <v>1.0009999999999999</v>
      </c>
      <c r="O15">
        <v>0</v>
      </c>
      <c r="P15">
        <v>0</v>
      </c>
      <c r="Q15">
        <v>0.01</v>
      </c>
    </row>
    <row r="16" spans="1:17">
      <c r="A16">
        <v>70</v>
      </c>
      <c r="B16">
        <v>1</v>
      </c>
      <c r="C16" t="s">
        <v>511</v>
      </c>
      <c r="D16">
        <v>6.7000000000000002E-3</v>
      </c>
      <c r="E16">
        <v>1.5E-3</v>
      </c>
      <c r="F16">
        <v>0.1</v>
      </c>
      <c r="G16">
        <v>4</v>
      </c>
      <c r="I16">
        <v>4.5999999999999996</v>
      </c>
      <c r="J16">
        <v>9.5</v>
      </c>
      <c r="K16">
        <v>22.8</v>
      </c>
      <c r="L16">
        <v>15.6</v>
      </c>
      <c r="M16">
        <v>0.28100000000000003</v>
      </c>
      <c r="N16">
        <v>1.012</v>
      </c>
      <c r="O16">
        <v>-2.5</v>
      </c>
      <c r="P16">
        <v>-2</v>
      </c>
      <c r="Q16">
        <v>1.0999999999999999E-2</v>
      </c>
    </row>
    <row r="17" spans="1:17">
      <c r="A17">
        <v>70</v>
      </c>
      <c r="B17">
        <v>1.5</v>
      </c>
      <c r="C17" t="s">
        <v>511</v>
      </c>
      <c r="D17">
        <v>6.7000000000000002E-3</v>
      </c>
      <c r="E17">
        <v>1.5E-3</v>
      </c>
      <c r="F17">
        <v>0.1</v>
      </c>
      <c r="G17">
        <v>4</v>
      </c>
      <c r="I17">
        <v>4.5999999999999996</v>
      </c>
      <c r="J17">
        <v>9.5</v>
      </c>
      <c r="K17">
        <v>22.8</v>
      </c>
      <c r="L17">
        <v>15.6</v>
      </c>
      <c r="M17">
        <v>0.26</v>
      </c>
      <c r="N17">
        <v>1.2490000000000001</v>
      </c>
      <c r="O17">
        <v>1.5</v>
      </c>
      <c r="P17">
        <v>0.5</v>
      </c>
      <c r="Q17">
        <v>1.0500000000000001E-2</v>
      </c>
    </row>
    <row r="19" spans="1:17">
      <c r="A19">
        <v>60</v>
      </c>
      <c r="B19">
        <v>0.75</v>
      </c>
      <c r="C19" t="s">
        <v>446</v>
      </c>
      <c r="D19">
        <v>2.3999999999999998E-3</v>
      </c>
      <c r="E19">
        <v>0.01</v>
      </c>
      <c r="F19">
        <v>0.06</v>
      </c>
      <c r="G19">
        <v>8</v>
      </c>
      <c r="I19">
        <v>9.1999999999999993</v>
      </c>
      <c r="J19">
        <v>19</v>
      </c>
      <c r="K19">
        <v>13.4</v>
      </c>
      <c r="L19">
        <v>5.2</v>
      </c>
      <c r="M19">
        <v>0.51500000000000001</v>
      </c>
      <c r="N19">
        <v>1.004</v>
      </c>
      <c r="O19">
        <v>1</v>
      </c>
      <c r="P19">
        <v>4.5</v>
      </c>
      <c r="Q19">
        <v>0.01</v>
      </c>
    </row>
    <row r="20" spans="1:17">
      <c r="A20">
        <v>60</v>
      </c>
      <c r="B20">
        <v>1</v>
      </c>
      <c r="C20" t="s">
        <v>446</v>
      </c>
      <c r="D20">
        <v>2.3999999999999998E-3</v>
      </c>
      <c r="E20">
        <v>0.01</v>
      </c>
      <c r="F20">
        <v>0.06</v>
      </c>
      <c r="G20">
        <v>8</v>
      </c>
      <c r="I20">
        <v>9.1999999999999993</v>
      </c>
      <c r="J20">
        <v>19</v>
      </c>
      <c r="K20">
        <v>13.4</v>
      </c>
      <c r="L20">
        <v>5.2</v>
      </c>
      <c r="M20">
        <v>0.50900000000000001</v>
      </c>
      <c r="N20">
        <v>1.0840000000000001</v>
      </c>
      <c r="O20">
        <v>4</v>
      </c>
      <c r="P20">
        <v>8</v>
      </c>
      <c r="Q20">
        <v>1.0999999999999999E-2</v>
      </c>
    </row>
    <row r="21" spans="1:17">
      <c r="A21">
        <v>60</v>
      </c>
      <c r="B21">
        <v>1.5</v>
      </c>
      <c r="C21" t="s">
        <v>446</v>
      </c>
      <c r="D21">
        <v>2.3999999999999998E-3</v>
      </c>
      <c r="E21">
        <v>0.01</v>
      </c>
      <c r="F21">
        <v>0.06</v>
      </c>
      <c r="G21">
        <v>8</v>
      </c>
      <c r="I21">
        <v>9.1999999999999993</v>
      </c>
      <c r="J21">
        <v>19</v>
      </c>
      <c r="K21">
        <v>13.4</v>
      </c>
      <c r="L21">
        <v>5.2</v>
      </c>
      <c r="M21">
        <v>0.46300000000000002</v>
      </c>
      <c r="N21">
        <v>1.242</v>
      </c>
      <c r="O21">
        <v>5</v>
      </c>
      <c r="P21">
        <v>10</v>
      </c>
      <c r="Q21">
        <v>0.01</v>
      </c>
    </row>
    <row r="22" spans="1:17">
      <c r="A22">
        <v>70</v>
      </c>
      <c r="B22">
        <v>0.75</v>
      </c>
      <c r="C22" t="s">
        <v>446</v>
      </c>
      <c r="D22">
        <v>2.3999999999999998E-3</v>
      </c>
      <c r="E22">
        <v>0.01</v>
      </c>
      <c r="F22">
        <v>0.06</v>
      </c>
      <c r="G22">
        <v>8</v>
      </c>
      <c r="I22">
        <v>9.1999999999999993</v>
      </c>
      <c r="J22">
        <v>19</v>
      </c>
      <c r="K22">
        <v>13.4</v>
      </c>
      <c r="L22">
        <v>5.2</v>
      </c>
      <c r="M22">
        <v>0.39</v>
      </c>
      <c r="N22">
        <v>1</v>
      </c>
      <c r="O22">
        <v>0.5</v>
      </c>
      <c r="P22">
        <v>4</v>
      </c>
      <c r="Q22">
        <v>1.0999999999999999E-2</v>
      </c>
    </row>
    <row r="23" spans="1:17">
      <c r="A23">
        <v>70</v>
      </c>
      <c r="B23">
        <v>1</v>
      </c>
      <c r="C23" t="s">
        <v>446</v>
      </c>
      <c r="D23">
        <v>2.3999999999999998E-3</v>
      </c>
      <c r="E23">
        <v>0.01</v>
      </c>
      <c r="F23">
        <v>0.06</v>
      </c>
      <c r="G23">
        <v>8</v>
      </c>
      <c r="I23">
        <v>9.1999999999999993</v>
      </c>
      <c r="J23">
        <v>19</v>
      </c>
      <c r="K23">
        <v>13.4</v>
      </c>
      <c r="L23">
        <v>5.2</v>
      </c>
      <c r="M23">
        <v>0.39</v>
      </c>
      <c r="N23">
        <v>1.075</v>
      </c>
      <c r="O23">
        <v>5.5</v>
      </c>
      <c r="P23">
        <v>9.5</v>
      </c>
      <c r="Q23">
        <v>8.9999999999999993E-3</v>
      </c>
    </row>
    <row r="24" spans="1:17">
      <c r="A24">
        <v>70</v>
      </c>
      <c r="B24">
        <v>1.5</v>
      </c>
      <c r="C24" t="s">
        <v>446</v>
      </c>
      <c r="D24">
        <v>2.3999999999999998E-3</v>
      </c>
      <c r="E24">
        <v>0.01</v>
      </c>
      <c r="F24">
        <v>0.06</v>
      </c>
      <c r="G24">
        <v>8</v>
      </c>
      <c r="I24">
        <v>9.1999999999999993</v>
      </c>
      <c r="J24">
        <v>19</v>
      </c>
      <c r="K24">
        <v>13.4</v>
      </c>
      <c r="L24">
        <v>5.2</v>
      </c>
      <c r="M24">
        <v>0.32500000000000001</v>
      </c>
      <c r="N24">
        <v>1.327</v>
      </c>
      <c r="O24">
        <v>5.5</v>
      </c>
      <c r="P24">
        <v>10</v>
      </c>
      <c r="Q24">
        <v>1.2999999999999999E-2</v>
      </c>
    </row>
    <row r="26" spans="1:17">
      <c r="A26">
        <v>30</v>
      </c>
      <c r="B26">
        <v>1</v>
      </c>
      <c r="C26" t="s">
        <v>424</v>
      </c>
      <c r="D26">
        <v>6.7000000000000002E-3</v>
      </c>
      <c r="E26">
        <v>1.5E-3</v>
      </c>
      <c r="F26">
        <v>0.1</v>
      </c>
      <c r="G26">
        <v>8</v>
      </c>
      <c r="I26">
        <v>9.1999999999999993</v>
      </c>
      <c r="J26">
        <v>19</v>
      </c>
      <c r="K26">
        <v>22.8</v>
      </c>
      <c r="L26">
        <v>15.4</v>
      </c>
      <c r="M26">
        <v>0.77400000000000002</v>
      </c>
      <c r="N26">
        <v>1.125</v>
      </c>
      <c r="O26">
        <v>1</v>
      </c>
      <c r="P26">
        <v>7</v>
      </c>
      <c r="Q26">
        <v>1.4999999999999999E-2</v>
      </c>
    </row>
    <row r="27" spans="1:17">
      <c r="A27">
        <v>30</v>
      </c>
      <c r="B27">
        <v>1.5</v>
      </c>
      <c r="C27" t="s">
        <v>424</v>
      </c>
      <c r="D27">
        <v>6.7000000000000002E-3</v>
      </c>
      <c r="E27">
        <v>1.5E-3</v>
      </c>
      <c r="F27">
        <v>0.1</v>
      </c>
      <c r="G27">
        <v>8</v>
      </c>
      <c r="I27">
        <v>9.1999999999999993</v>
      </c>
      <c r="J27">
        <v>19</v>
      </c>
      <c r="K27">
        <v>22.8</v>
      </c>
      <c r="L27">
        <v>15.4</v>
      </c>
      <c r="M27">
        <v>0.71899999999999997</v>
      </c>
      <c r="N27">
        <v>1.228</v>
      </c>
      <c r="O27">
        <v>1</v>
      </c>
      <c r="P27">
        <v>7.5</v>
      </c>
      <c r="Q27">
        <v>1.4999999999999999E-2</v>
      </c>
    </row>
    <row r="28" spans="1:17">
      <c r="A28">
        <v>45</v>
      </c>
      <c r="B28">
        <v>1.5</v>
      </c>
      <c r="C28" t="s">
        <v>424</v>
      </c>
      <c r="D28">
        <v>6.7000000000000002E-3</v>
      </c>
      <c r="E28">
        <v>1.5E-3</v>
      </c>
      <c r="F28">
        <v>0.1</v>
      </c>
      <c r="G28">
        <v>8</v>
      </c>
      <c r="I28">
        <v>9.1999999999999993</v>
      </c>
      <c r="J28">
        <v>19</v>
      </c>
      <c r="K28">
        <v>22.8</v>
      </c>
      <c r="L28">
        <v>15.4</v>
      </c>
      <c r="M28">
        <v>0.57799999999999996</v>
      </c>
      <c r="N28">
        <v>1.258</v>
      </c>
      <c r="O28">
        <v>2</v>
      </c>
      <c r="P28">
        <v>8</v>
      </c>
      <c r="Q28">
        <v>1.55E-2</v>
      </c>
    </row>
    <row r="29" spans="1:17">
      <c r="A29">
        <v>60</v>
      </c>
      <c r="B29">
        <v>1.5</v>
      </c>
      <c r="C29" t="s">
        <v>424</v>
      </c>
      <c r="D29">
        <v>6.7000000000000002E-3</v>
      </c>
      <c r="E29">
        <v>1.5E-3</v>
      </c>
      <c r="F29">
        <v>0.1</v>
      </c>
      <c r="G29">
        <v>8</v>
      </c>
      <c r="I29">
        <v>9.1999999999999993</v>
      </c>
      <c r="J29">
        <v>19</v>
      </c>
      <c r="K29">
        <v>22.8</v>
      </c>
      <c r="L29">
        <v>15.4</v>
      </c>
      <c r="M29">
        <v>0.443</v>
      </c>
      <c r="N29">
        <v>1.306</v>
      </c>
      <c r="O29">
        <v>6</v>
      </c>
      <c r="P29">
        <v>9</v>
      </c>
      <c r="Q29">
        <v>1.0999999999999999E-2</v>
      </c>
    </row>
    <row r="30" spans="1:17">
      <c r="A30">
        <v>70</v>
      </c>
      <c r="B30">
        <v>1</v>
      </c>
      <c r="C30" t="s">
        <v>424</v>
      </c>
      <c r="D30">
        <v>6.7000000000000002E-3</v>
      </c>
      <c r="E30">
        <v>1.5E-3</v>
      </c>
      <c r="F30">
        <v>0.1</v>
      </c>
      <c r="G30">
        <v>8</v>
      </c>
      <c r="I30">
        <v>9.1999999999999993</v>
      </c>
      <c r="J30">
        <v>19</v>
      </c>
      <c r="K30">
        <v>22.8</v>
      </c>
      <c r="L30">
        <v>15.4</v>
      </c>
      <c r="M30">
        <v>0.33400000000000002</v>
      </c>
      <c r="N30">
        <v>1.07</v>
      </c>
      <c r="O30">
        <v>1.5</v>
      </c>
      <c r="P30">
        <v>4</v>
      </c>
      <c r="Q30">
        <v>1.2999999999999999E-2</v>
      </c>
    </row>
    <row r="31" spans="1:17">
      <c r="A31">
        <v>70</v>
      </c>
      <c r="B31">
        <v>1.25</v>
      </c>
      <c r="C31" t="s">
        <v>424</v>
      </c>
      <c r="D31">
        <v>6.7000000000000002E-3</v>
      </c>
      <c r="E31">
        <v>1.5E-3</v>
      </c>
      <c r="F31">
        <v>0.1</v>
      </c>
      <c r="G31">
        <v>8</v>
      </c>
      <c r="I31">
        <v>9.1999999999999993</v>
      </c>
      <c r="J31">
        <v>19</v>
      </c>
      <c r="K31">
        <v>22.8</v>
      </c>
      <c r="L31">
        <v>15.4</v>
      </c>
      <c r="M31">
        <v>0.34599999999999997</v>
      </c>
      <c r="N31">
        <v>1.2350000000000001</v>
      </c>
      <c r="O31">
        <v>6</v>
      </c>
      <c r="P31">
        <v>8</v>
      </c>
      <c r="Q31">
        <v>0.01</v>
      </c>
    </row>
    <row r="32" spans="1:17">
      <c r="A32">
        <v>70</v>
      </c>
      <c r="B32">
        <v>1.5</v>
      </c>
      <c r="C32" t="s">
        <v>424</v>
      </c>
      <c r="D32">
        <v>6.7000000000000002E-3</v>
      </c>
      <c r="E32">
        <v>1.5E-3</v>
      </c>
      <c r="F32">
        <v>0.1</v>
      </c>
      <c r="G32">
        <v>8</v>
      </c>
      <c r="I32">
        <v>9.1999999999999993</v>
      </c>
      <c r="J32">
        <v>19</v>
      </c>
      <c r="K32">
        <v>22.8</v>
      </c>
      <c r="L32">
        <v>15.4</v>
      </c>
      <c r="M32">
        <v>0.317</v>
      </c>
      <c r="N32">
        <v>1.3939999999999999</v>
      </c>
      <c r="O32">
        <v>7</v>
      </c>
      <c r="P32">
        <v>8.5</v>
      </c>
      <c r="Q32">
        <v>1.15E-2</v>
      </c>
    </row>
    <row r="34" spans="1:17">
      <c r="A34">
        <v>45</v>
      </c>
      <c r="B34">
        <v>1.5</v>
      </c>
      <c r="C34" t="s">
        <v>430</v>
      </c>
      <c r="D34">
        <v>2.3999999999999998E-3</v>
      </c>
      <c r="E34">
        <v>1.5E-3</v>
      </c>
      <c r="F34">
        <v>0.06</v>
      </c>
      <c r="G34">
        <v>12</v>
      </c>
      <c r="I34">
        <v>13.8</v>
      </c>
      <c r="J34">
        <v>28.4</v>
      </c>
      <c r="K34">
        <v>13.3</v>
      </c>
      <c r="L34">
        <v>9.8000000000000007</v>
      </c>
      <c r="M34">
        <v>0.68600000000000005</v>
      </c>
      <c r="N34">
        <v>1.294</v>
      </c>
      <c r="O34">
        <v>11</v>
      </c>
      <c r="P34">
        <v>21</v>
      </c>
      <c r="Q34">
        <v>1.2E-2</v>
      </c>
    </row>
    <row r="35" spans="1:17">
      <c r="A35">
        <v>60</v>
      </c>
      <c r="B35">
        <v>1</v>
      </c>
      <c r="C35" t="s">
        <v>430</v>
      </c>
      <c r="D35">
        <v>2.3999999999999998E-3</v>
      </c>
      <c r="E35">
        <v>1.5E-3</v>
      </c>
      <c r="F35">
        <v>0.06</v>
      </c>
      <c r="G35">
        <v>12</v>
      </c>
      <c r="I35">
        <v>13.8</v>
      </c>
      <c r="J35">
        <v>28.4</v>
      </c>
      <c r="K35">
        <v>13.3</v>
      </c>
      <c r="L35">
        <v>9.8000000000000007</v>
      </c>
      <c r="M35">
        <v>0.54300000000000004</v>
      </c>
      <c r="N35">
        <v>1.1719999999999999</v>
      </c>
      <c r="O35">
        <v>8</v>
      </c>
      <c r="P35">
        <v>14</v>
      </c>
      <c r="Q35">
        <v>1.0500000000000001E-2</v>
      </c>
    </row>
    <row r="36" spans="1:17">
      <c r="A36">
        <v>60</v>
      </c>
      <c r="B36">
        <v>1.5</v>
      </c>
      <c r="C36" t="s">
        <v>430</v>
      </c>
      <c r="D36">
        <v>2.3999999999999998E-3</v>
      </c>
      <c r="E36">
        <v>1.5E-3</v>
      </c>
      <c r="F36">
        <v>0.06</v>
      </c>
      <c r="G36">
        <v>12</v>
      </c>
      <c r="I36">
        <v>13.8</v>
      </c>
      <c r="J36">
        <v>28.4</v>
      </c>
      <c r="K36">
        <v>13.3</v>
      </c>
      <c r="L36">
        <v>9.8000000000000007</v>
      </c>
      <c r="M36">
        <v>0.498</v>
      </c>
      <c r="N36">
        <v>1.4019999999999999</v>
      </c>
      <c r="O36">
        <v>10</v>
      </c>
      <c r="P36">
        <v>17.5</v>
      </c>
      <c r="Q36">
        <v>1.2E-2</v>
      </c>
    </row>
    <row r="38" spans="1:17">
      <c r="A38">
        <v>60</v>
      </c>
      <c r="B38">
        <v>0.75</v>
      </c>
      <c r="C38" t="s">
        <v>447</v>
      </c>
      <c r="D38">
        <v>2.3999999999999998E-3</v>
      </c>
      <c r="E38">
        <v>0.01</v>
      </c>
      <c r="F38">
        <v>0.06</v>
      </c>
      <c r="G38">
        <v>12</v>
      </c>
      <c r="I38">
        <v>13.8</v>
      </c>
      <c r="J38">
        <v>28.4</v>
      </c>
      <c r="K38">
        <v>13.4</v>
      </c>
      <c r="L38">
        <v>5.2</v>
      </c>
      <c r="M38">
        <v>0.56399999999999995</v>
      </c>
      <c r="N38">
        <v>1.018</v>
      </c>
      <c r="O38">
        <v>5.5</v>
      </c>
      <c r="P38">
        <v>10</v>
      </c>
      <c r="Q38">
        <v>1.2E-2</v>
      </c>
    </row>
    <row r="39" spans="1:17">
      <c r="A39">
        <v>60</v>
      </c>
      <c r="B39">
        <v>1</v>
      </c>
      <c r="C39" t="s">
        <v>447</v>
      </c>
      <c r="D39">
        <v>2.3999999999999998E-3</v>
      </c>
      <c r="E39">
        <v>0.01</v>
      </c>
      <c r="F39">
        <v>0.06</v>
      </c>
      <c r="G39">
        <v>12</v>
      </c>
      <c r="I39">
        <v>13.8</v>
      </c>
      <c r="J39">
        <v>28.4</v>
      </c>
      <c r="K39">
        <v>13.4</v>
      </c>
      <c r="L39">
        <v>5.2</v>
      </c>
      <c r="M39">
        <v>0.53600000000000003</v>
      </c>
      <c r="N39">
        <v>1.149</v>
      </c>
      <c r="O39">
        <v>7.5</v>
      </c>
      <c r="P39">
        <v>13.5</v>
      </c>
      <c r="Q39">
        <v>0.01</v>
      </c>
    </row>
    <row r="40" spans="1:17">
      <c r="A40">
        <v>60</v>
      </c>
      <c r="B40">
        <v>1.5</v>
      </c>
      <c r="C40" t="s">
        <v>447</v>
      </c>
      <c r="D40">
        <v>2.3999999999999998E-3</v>
      </c>
      <c r="E40">
        <v>0.01</v>
      </c>
      <c r="F40">
        <v>0.06</v>
      </c>
      <c r="G40">
        <v>12</v>
      </c>
      <c r="I40">
        <v>13.8</v>
      </c>
      <c r="J40">
        <v>28.4</v>
      </c>
      <c r="K40">
        <v>13.4</v>
      </c>
      <c r="L40">
        <v>5.2</v>
      </c>
      <c r="M40">
        <v>0.48499999999999999</v>
      </c>
      <c r="N40">
        <v>1.369</v>
      </c>
      <c r="O40">
        <v>9</v>
      </c>
      <c r="P40">
        <v>16.5</v>
      </c>
      <c r="Q40">
        <v>0.01</v>
      </c>
    </row>
    <row r="41" spans="1:17">
      <c r="A41">
        <v>70</v>
      </c>
      <c r="B41">
        <v>0.75</v>
      </c>
      <c r="C41" t="s">
        <v>447</v>
      </c>
      <c r="D41">
        <v>2.3999999999999998E-3</v>
      </c>
      <c r="E41">
        <v>0.01</v>
      </c>
      <c r="F41">
        <v>0.06</v>
      </c>
      <c r="G41">
        <v>12</v>
      </c>
      <c r="I41">
        <v>13.8</v>
      </c>
      <c r="J41">
        <v>28.4</v>
      </c>
      <c r="K41">
        <v>13.4</v>
      </c>
      <c r="L41">
        <v>5.2</v>
      </c>
      <c r="M41">
        <v>0.42299999999999999</v>
      </c>
      <c r="N41">
        <v>1.002</v>
      </c>
      <c r="O41">
        <v>3.5</v>
      </c>
      <c r="P41">
        <v>7.5</v>
      </c>
      <c r="Q41">
        <v>0.01</v>
      </c>
    </row>
    <row r="42" spans="1:17">
      <c r="A42">
        <v>70</v>
      </c>
      <c r="B42">
        <v>1</v>
      </c>
      <c r="C42" t="s">
        <v>447</v>
      </c>
      <c r="D42">
        <v>2.3999999999999998E-3</v>
      </c>
      <c r="E42">
        <v>0.01</v>
      </c>
      <c r="F42">
        <v>0.06</v>
      </c>
      <c r="G42">
        <v>12</v>
      </c>
      <c r="I42">
        <v>13.8</v>
      </c>
      <c r="J42">
        <v>28.4</v>
      </c>
      <c r="K42">
        <v>13.4</v>
      </c>
      <c r="L42">
        <v>5.2</v>
      </c>
      <c r="M42">
        <v>0.38500000000000001</v>
      </c>
      <c r="N42">
        <v>1.1259999999999999</v>
      </c>
      <c r="O42">
        <v>6</v>
      </c>
      <c r="P42">
        <v>9.5</v>
      </c>
      <c r="Q42">
        <v>1.0999999999999999E-2</v>
      </c>
    </row>
    <row r="43" spans="1:17">
      <c r="A43">
        <v>70</v>
      </c>
      <c r="B43">
        <v>1.5</v>
      </c>
      <c r="C43" t="s">
        <v>447</v>
      </c>
      <c r="D43">
        <v>2.3999999999999998E-3</v>
      </c>
      <c r="E43">
        <v>0.01</v>
      </c>
      <c r="F43">
        <v>0.06</v>
      </c>
      <c r="G43">
        <v>12</v>
      </c>
      <c r="I43">
        <v>13.8</v>
      </c>
      <c r="J43">
        <v>28.4</v>
      </c>
      <c r="K43">
        <v>13.4</v>
      </c>
      <c r="L43">
        <v>5.2</v>
      </c>
      <c r="M43">
        <v>0.375</v>
      </c>
      <c r="N43">
        <v>1.46</v>
      </c>
      <c r="O43">
        <v>11</v>
      </c>
      <c r="P43">
        <v>17.5</v>
      </c>
      <c r="Q43">
        <v>1.0999999999999999E-2</v>
      </c>
    </row>
    <row r="45" spans="1:17">
      <c r="A45">
        <v>45</v>
      </c>
      <c r="B45">
        <v>1.5</v>
      </c>
      <c r="C45" t="s">
        <v>431</v>
      </c>
      <c r="D45">
        <v>4.3E-3</v>
      </c>
      <c r="E45">
        <v>1.5E-3</v>
      </c>
      <c r="F45">
        <v>0.08</v>
      </c>
      <c r="G45">
        <v>12</v>
      </c>
      <c r="I45">
        <v>13.8</v>
      </c>
      <c r="J45">
        <v>28.4</v>
      </c>
      <c r="K45">
        <v>17.899999999999999</v>
      </c>
      <c r="L45">
        <v>12.8</v>
      </c>
      <c r="M45">
        <v>0.64800000000000002</v>
      </c>
      <c r="N45">
        <v>1.3180000000000001</v>
      </c>
      <c r="O45">
        <v>9</v>
      </c>
      <c r="P45">
        <v>19.5</v>
      </c>
      <c r="Q45">
        <v>1.35E-2</v>
      </c>
    </row>
    <row r="46" spans="1:17">
      <c r="A46">
        <v>60</v>
      </c>
      <c r="B46">
        <v>1</v>
      </c>
      <c r="C46" t="s">
        <v>431</v>
      </c>
      <c r="D46">
        <v>4.3E-3</v>
      </c>
      <c r="E46">
        <v>1.5E-3</v>
      </c>
      <c r="F46">
        <v>0.08</v>
      </c>
      <c r="G46">
        <v>12</v>
      </c>
      <c r="I46">
        <v>13.8</v>
      </c>
      <c r="J46">
        <v>28.4</v>
      </c>
      <c r="K46">
        <v>17.899999999999999</v>
      </c>
      <c r="L46">
        <v>12.8</v>
      </c>
      <c r="M46">
        <v>0.51900000000000002</v>
      </c>
      <c r="N46">
        <v>1.171</v>
      </c>
      <c r="O46">
        <v>6.5</v>
      </c>
      <c r="P46">
        <v>12</v>
      </c>
      <c r="Q46">
        <v>1.35E-2</v>
      </c>
    </row>
    <row r="47" spans="1:17">
      <c r="A47">
        <v>60</v>
      </c>
      <c r="B47">
        <v>1.5</v>
      </c>
      <c r="C47" t="s">
        <v>431</v>
      </c>
      <c r="D47">
        <v>4.3E-3</v>
      </c>
      <c r="E47">
        <v>1.5E-3</v>
      </c>
      <c r="F47">
        <v>0.08</v>
      </c>
      <c r="G47">
        <v>12</v>
      </c>
      <c r="I47">
        <v>13.8</v>
      </c>
      <c r="J47">
        <v>28.4</v>
      </c>
      <c r="K47">
        <v>17.899999999999999</v>
      </c>
      <c r="L47">
        <v>12.8</v>
      </c>
      <c r="M47">
        <v>0.48199999999999998</v>
      </c>
      <c r="N47">
        <v>1.4179999999999999</v>
      </c>
      <c r="O47">
        <v>10</v>
      </c>
      <c r="P47">
        <v>17</v>
      </c>
      <c r="Q47">
        <v>1.2999999999999999E-2</v>
      </c>
    </row>
    <row r="49" spans="1:17">
      <c r="A49">
        <v>30</v>
      </c>
      <c r="B49">
        <v>1</v>
      </c>
      <c r="C49" t="s">
        <v>425</v>
      </c>
      <c r="D49">
        <v>6.7000000000000002E-3</v>
      </c>
      <c r="E49">
        <v>1.5E-3</v>
      </c>
      <c r="F49">
        <v>0.1</v>
      </c>
      <c r="G49">
        <v>12</v>
      </c>
      <c r="I49">
        <v>13.9</v>
      </c>
      <c r="J49">
        <v>28.4</v>
      </c>
      <c r="K49">
        <v>22.5</v>
      </c>
      <c r="L49">
        <v>15.3</v>
      </c>
      <c r="M49">
        <v>0.79400000000000004</v>
      </c>
      <c r="N49">
        <v>1.177</v>
      </c>
      <c r="O49">
        <v>6</v>
      </c>
      <c r="P49">
        <v>14.5</v>
      </c>
      <c r="Q49">
        <v>1.4999999999999999E-2</v>
      </c>
    </row>
    <row r="50" spans="1:17">
      <c r="A50">
        <v>30</v>
      </c>
      <c r="B50">
        <v>1.25</v>
      </c>
      <c r="C50" t="s">
        <v>425</v>
      </c>
      <c r="D50">
        <v>6.7000000000000002E-3</v>
      </c>
      <c r="E50">
        <v>1.5E-3</v>
      </c>
      <c r="F50">
        <v>0.1</v>
      </c>
      <c r="G50">
        <v>12</v>
      </c>
      <c r="I50">
        <v>13.9</v>
      </c>
      <c r="J50">
        <v>28.4</v>
      </c>
      <c r="K50">
        <v>22.5</v>
      </c>
      <c r="L50">
        <v>15.3</v>
      </c>
      <c r="M50">
        <v>0.76800000000000002</v>
      </c>
      <c r="N50">
        <v>1.232</v>
      </c>
      <c r="O50">
        <v>7.5</v>
      </c>
      <c r="P50">
        <v>17.5</v>
      </c>
      <c r="Q50">
        <v>1.55E-2</v>
      </c>
    </row>
    <row r="51" spans="1:17">
      <c r="A51">
        <v>30</v>
      </c>
      <c r="B51">
        <v>1.5</v>
      </c>
      <c r="C51" t="s">
        <v>425</v>
      </c>
      <c r="D51">
        <v>6.7000000000000002E-3</v>
      </c>
      <c r="E51">
        <v>1.5E-3</v>
      </c>
      <c r="F51">
        <v>0.1</v>
      </c>
      <c r="G51">
        <v>12</v>
      </c>
      <c r="I51">
        <v>13.9</v>
      </c>
      <c r="J51">
        <v>28.4</v>
      </c>
      <c r="K51">
        <v>22.5</v>
      </c>
      <c r="L51">
        <v>15.3</v>
      </c>
      <c r="M51">
        <v>0.755</v>
      </c>
      <c r="N51">
        <v>1.282</v>
      </c>
      <c r="O51">
        <v>7.5</v>
      </c>
      <c r="P51">
        <v>18</v>
      </c>
      <c r="Q51">
        <v>1.6E-2</v>
      </c>
    </row>
    <row r="52" spans="1:17">
      <c r="A52">
        <v>45</v>
      </c>
      <c r="B52">
        <v>0.5</v>
      </c>
      <c r="C52" t="s">
        <v>425</v>
      </c>
      <c r="D52">
        <v>6.7000000000000002E-3</v>
      </c>
      <c r="E52">
        <v>1.5E-3</v>
      </c>
      <c r="F52">
        <v>0.1</v>
      </c>
      <c r="G52">
        <v>12</v>
      </c>
      <c r="I52">
        <v>13.9</v>
      </c>
      <c r="J52">
        <v>28.4</v>
      </c>
      <c r="K52">
        <v>22.5</v>
      </c>
      <c r="L52">
        <v>15.3</v>
      </c>
      <c r="M52">
        <v>0.755</v>
      </c>
      <c r="N52">
        <v>1.008</v>
      </c>
      <c r="O52">
        <v>3</v>
      </c>
      <c r="P52">
        <v>7</v>
      </c>
      <c r="Q52">
        <v>1.4999999999999999E-2</v>
      </c>
    </row>
    <row r="53" spans="1:17">
      <c r="A53">
        <v>45</v>
      </c>
      <c r="B53">
        <v>0.75</v>
      </c>
      <c r="C53" t="s">
        <v>425</v>
      </c>
      <c r="D53">
        <v>6.7000000000000002E-3</v>
      </c>
      <c r="E53">
        <v>1.5E-3</v>
      </c>
      <c r="F53">
        <v>0.1</v>
      </c>
      <c r="G53">
        <v>12</v>
      </c>
      <c r="I53">
        <v>13.9</v>
      </c>
      <c r="J53">
        <v>28.4</v>
      </c>
      <c r="K53">
        <v>22.5</v>
      </c>
      <c r="L53">
        <v>15.3</v>
      </c>
      <c r="M53">
        <v>0.69399999999999995</v>
      </c>
      <c r="N53">
        <v>1.079</v>
      </c>
      <c r="O53">
        <v>3.5</v>
      </c>
      <c r="P53">
        <v>8.5</v>
      </c>
      <c r="Q53">
        <v>1.4999999999999999E-2</v>
      </c>
    </row>
    <row r="54" spans="1:17">
      <c r="A54">
        <v>45</v>
      </c>
      <c r="B54">
        <v>1</v>
      </c>
      <c r="C54" t="s">
        <v>425</v>
      </c>
      <c r="D54">
        <v>6.7000000000000002E-3</v>
      </c>
      <c r="E54">
        <v>1.5E-3</v>
      </c>
      <c r="F54">
        <v>0.1</v>
      </c>
      <c r="G54">
        <v>12</v>
      </c>
      <c r="I54">
        <v>13.9</v>
      </c>
      <c r="J54">
        <v>28.4</v>
      </c>
      <c r="K54">
        <v>22.5</v>
      </c>
      <c r="L54">
        <v>15.3</v>
      </c>
      <c r="M54">
        <v>0.65800000000000003</v>
      </c>
      <c r="N54">
        <v>1.1819999999999999</v>
      </c>
      <c r="O54">
        <v>5</v>
      </c>
      <c r="P54">
        <v>12.5</v>
      </c>
      <c r="Q54">
        <v>1.4999999999999999E-2</v>
      </c>
    </row>
    <row r="55" spans="1:17">
      <c r="A55">
        <v>45</v>
      </c>
      <c r="B55">
        <v>1.25</v>
      </c>
      <c r="C55" t="s">
        <v>425</v>
      </c>
      <c r="D55">
        <v>6.7000000000000002E-3</v>
      </c>
      <c r="E55">
        <v>1.5E-3</v>
      </c>
      <c r="F55">
        <v>0.1</v>
      </c>
      <c r="G55">
        <v>12</v>
      </c>
      <c r="I55">
        <v>13.9</v>
      </c>
      <c r="J55">
        <v>28.4</v>
      </c>
      <c r="K55">
        <v>22.5</v>
      </c>
      <c r="L55">
        <v>15.3</v>
      </c>
      <c r="M55">
        <v>0.63900000000000001</v>
      </c>
      <c r="N55">
        <v>1.2669999999999999</v>
      </c>
      <c r="O55">
        <v>7</v>
      </c>
      <c r="P55">
        <v>15</v>
      </c>
      <c r="Q55">
        <v>1.4999999999999999E-2</v>
      </c>
    </row>
    <row r="56" spans="1:17">
      <c r="A56">
        <v>45</v>
      </c>
      <c r="B56">
        <v>1.5</v>
      </c>
      <c r="C56" t="s">
        <v>425</v>
      </c>
      <c r="D56">
        <v>6.7000000000000002E-3</v>
      </c>
      <c r="E56">
        <v>1.5E-3</v>
      </c>
      <c r="F56">
        <v>0.1</v>
      </c>
      <c r="G56">
        <v>12</v>
      </c>
      <c r="I56">
        <v>13.9</v>
      </c>
      <c r="J56">
        <v>28.4</v>
      </c>
      <c r="K56">
        <v>22.5</v>
      </c>
      <c r="L56">
        <v>15.3</v>
      </c>
      <c r="M56">
        <v>0.61399999999999999</v>
      </c>
      <c r="N56">
        <v>1.3440000000000001</v>
      </c>
      <c r="O56">
        <v>7.5</v>
      </c>
      <c r="P56">
        <v>16.5</v>
      </c>
      <c r="Q56">
        <v>1.4999999999999999E-2</v>
      </c>
    </row>
    <row r="57" spans="1:17">
      <c r="A57">
        <v>45</v>
      </c>
      <c r="B57">
        <v>1.5</v>
      </c>
      <c r="C57" t="s">
        <v>425</v>
      </c>
      <c r="D57">
        <v>6.7000000000000002E-3</v>
      </c>
      <c r="E57">
        <v>1.5E-3</v>
      </c>
      <c r="F57">
        <v>0.1</v>
      </c>
      <c r="G57">
        <v>12</v>
      </c>
      <c r="I57">
        <v>13.9</v>
      </c>
      <c r="J57">
        <v>28.4</v>
      </c>
      <c r="K57">
        <v>22.5</v>
      </c>
      <c r="L57">
        <v>15.3</v>
      </c>
      <c r="M57">
        <v>0.62</v>
      </c>
      <c r="N57">
        <v>1.341</v>
      </c>
      <c r="O57">
        <v>8</v>
      </c>
      <c r="P57">
        <v>17</v>
      </c>
      <c r="Q57">
        <v>1.4E-2</v>
      </c>
    </row>
    <row r="58" spans="1:17">
      <c r="A58">
        <v>60</v>
      </c>
      <c r="B58">
        <v>0.75</v>
      </c>
      <c r="C58" t="s">
        <v>425</v>
      </c>
      <c r="D58">
        <v>6.7000000000000002E-3</v>
      </c>
      <c r="E58">
        <v>1.5E-3</v>
      </c>
      <c r="F58">
        <v>0.1</v>
      </c>
      <c r="G58">
        <v>12</v>
      </c>
      <c r="I58">
        <v>13.9</v>
      </c>
      <c r="J58">
        <v>28.4</v>
      </c>
      <c r="K58">
        <v>22.5</v>
      </c>
      <c r="L58">
        <v>15.3</v>
      </c>
      <c r="M58">
        <v>0.55000000000000004</v>
      </c>
      <c r="N58">
        <v>1.022</v>
      </c>
      <c r="O58">
        <v>4</v>
      </c>
      <c r="P58">
        <v>8.5</v>
      </c>
      <c r="Q58">
        <v>1.4500000000000001E-2</v>
      </c>
    </row>
    <row r="59" spans="1:17">
      <c r="A59">
        <v>60</v>
      </c>
      <c r="B59">
        <v>1</v>
      </c>
      <c r="C59" t="s">
        <v>425</v>
      </c>
      <c r="D59">
        <v>6.7000000000000002E-3</v>
      </c>
      <c r="E59">
        <v>1.5E-3</v>
      </c>
      <c r="F59">
        <v>0.1</v>
      </c>
      <c r="G59">
        <v>12</v>
      </c>
      <c r="I59">
        <v>13.9</v>
      </c>
      <c r="J59">
        <v>28.4</v>
      </c>
      <c r="K59">
        <v>22.5</v>
      </c>
      <c r="L59">
        <v>15.3</v>
      </c>
      <c r="M59">
        <v>0.502</v>
      </c>
      <c r="N59">
        <v>1.165</v>
      </c>
      <c r="O59">
        <v>5.5</v>
      </c>
      <c r="P59">
        <v>11</v>
      </c>
      <c r="Q59">
        <v>1.4999999999999999E-2</v>
      </c>
    </row>
    <row r="60" spans="1:17">
      <c r="A60">
        <v>60</v>
      </c>
      <c r="B60">
        <v>1</v>
      </c>
      <c r="C60" t="s">
        <v>425</v>
      </c>
      <c r="D60">
        <v>6.7000000000000002E-3</v>
      </c>
      <c r="E60">
        <v>1.5E-3</v>
      </c>
      <c r="F60">
        <v>0.1</v>
      </c>
      <c r="G60">
        <v>12</v>
      </c>
      <c r="I60">
        <v>13.9</v>
      </c>
      <c r="J60">
        <v>28.4</v>
      </c>
      <c r="K60">
        <v>22.5</v>
      </c>
      <c r="L60">
        <v>15.3</v>
      </c>
      <c r="M60">
        <v>0.502</v>
      </c>
      <c r="N60">
        <v>1.165</v>
      </c>
      <c r="O60">
        <v>5.5</v>
      </c>
      <c r="P60">
        <v>10.5</v>
      </c>
      <c r="Q60">
        <v>1.4500000000000001E-2</v>
      </c>
    </row>
    <row r="61" spans="1:17">
      <c r="A61">
        <v>60</v>
      </c>
      <c r="B61">
        <v>1.25</v>
      </c>
      <c r="C61" t="s">
        <v>425</v>
      </c>
      <c r="D61">
        <v>6.7000000000000002E-3</v>
      </c>
      <c r="E61">
        <v>1.5E-3</v>
      </c>
      <c r="F61">
        <v>0.1</v>
      </c>
      <c r="G61">
        <v>12</v>
      </c>
      <c r="I61">
        <v>13.9</v>
      </c>
      <c r="J61">
        <v>28.4</v>
      </c>
      <c r="K61">
        <v>22.5</v>
      </c>
      <c r="L61">
        <v>15.3</v>
      </c>
      <c r="M61">
        <v>0.49399999999999999</v>
      </c>
      <c r="N61">
        <v>1.3069999999999999</v>
      </c>
      <c r="O61">
        <v>9</v>
      </c>
      <c r="P61">
        <v>14</v>
      </c>
      <c r="Q61">
        <v>1.2E-2</v>
      </c>
    </row>
    <row r="62" spans="1:17">
      <c r="A62">
        <v>60</v>
      </c>
      <c r="B62">
        <v>1.5</v>
      </c>
      <c r="C62" t="s">
        <v>425</v>
      </c>
      <c r="D62">
        <v>6.7000000000000002E-3</v>
      </c>
      <c r="E62">
        <v>1.5E-3</v>
      </c>
      <c r="F62">
        <v>0.1</v>
      </c>
      <c r="G62">
        <v>12</v>
      </c>
      <c r="I62">
        <v>13.9</v>
      </c>
      <c r="J62">
        <v>28.4</v>
      </c>
      <c r="K62">
        <v>22.5</v>
      </c>
      <c r="L62">
        <v>15.3</v>
      </c>
      <c r="M62">
        <v>0.47799999999999998</v>
      </c>
      <c r="N62">
        <v>1.4279999999999999</v>
      </c>
      <c r="O62">
        <v>11</v>
      </c>
      <c r="P62">
        <v>17</v>
      </c>
      <c r="Q62">
        <v>1.4E-2</v>
      </c>
    </row>
    <row r="63" spans="1:17">
      <c r="A63">
        <v>60</v>
      </c>
      <c r="B63">
        <v>1.5</v>
      </c>
      <c r="C63" t="s">
        <v>425</v>
      </c>
      <c r="D63">
        <v>6.7000000000000002E-3</v>
      </c>
      <c r="E63">
        <v>1.5E-3</v>
      </c>
      <c r="F63">
        <v>0.1</v>
      </c>
      <c r="G63">
        <v>12</v>
      </c>
      <c r="I63">
        <v>13.9</v>
      </c>
      <c r="J63">
        <v>28.4</v>
      </c>
      <c r="K63">
        <v>22.5</v>
      </c>
      <c r="L63">
        <v>15.3</v>
      </c>
      <c r="M63">
        <v>0.48199999999999998</v>
      </c>
      <c r="N63">
        <v>1.423</v>
      </c>
      <c r="O63">
        <v>11.5</v>
      </c>
      <c r="P63">
        <v>17</v>
      </c>
      <c r="Q63">
        <v>1.4E-2</v>
      </c>
    </row>
    <row r="64" spans="1:17">
      <c r="A64">
        <v>70</v>
      </c>
      <c r="B64">
        <v>1</v>
      </c>
      <c r="C64" t="s">
        <v>425</v>
      </c>
      <c r="D64">
        <v>6.7000000000000002E-3</v>
      </c>
      <c r="E64">
        <v>1.5E-3</v>
      </c>
      <c r="F64">
        <v>0.1</v>
      </c>
      <c r="G64">
        <v>12</v>
      </c>
      <c r="I64">
        <v>13.9</v>
      </c>
      <c r="J64">
        <v>28.4</v>
      </c>
      <c r="K64">
        <v>22.5</v>
      </c>
      <c r="L64">
        <v>15.3</v>
      </c>
      <c r="M64">
        <v>0.36299999999999999</v>
      </c>
      <c r="N64">
        <v>1.1399999999999999</v>
      </c>
      <c r="O64">
        <v>4.5</v>
      </c>
      <c r="P64">
        <v>7.5</v>
      </c>
      <c r="Q64">
        <v>1.4999999999999999E-2</v>
      </c>
    </row>
    <row r="65" spans="1:17">
      <c r="A65">
        <v>70</v>
      </c>
      <c r="B65">
        <v>1.25</v>
      </c>
      <c r="C65" t="s">
        <v>425</v>
      </c>
      <c r="D65">
        <v>6.7000000000000002E-3</v>
      </c>
      <c r="E65">
        <v>1.5E-3</v>
      </c>
      <c r="F65">
        <v>0.1</v>
      </c>
      <c r="G65">
        <v>12</v>
      </c>
      <c r="I65">
        <v>13.9</v>
      </c>
      <c r="J65">
        <v>28.4</v>
      </c>
      <c r="K65">
        <v>22.5</v>
      </c>
      <c r="L65">
        <v>15.3</v>
      </c>
      <c r="M65">
        <v>0.36399999999999999</v>
      </c>
      <c r="N65">
        <v>1.3680000000000001</v>
      </c>
      <c r="O65">
        <v>9</v>
      </c>
      <c r="P65">
        <v>12.5</v>
      </c>
      <c r="Q65">
        <v>1.2999999999999999E-2</v>
      </c>
    </row>
    <row r="66" spans="1:17">
      <c r="A66">
        <v>70</v>
      </c>
      <c r="B66">
        <v>1.5</v>
      </c>
      <c r="C66" t="s">
        <v>425</v>
      </c>
      <c r="D66">
        <v>6.7000000000000002E-3</v>
      </c>
      <c r="E66">
        <v>1.5E-3</v>
      </c>
      <c r="F66">
        <v>0.1</v>
      </c>
      <c r="G66">
        <v>12</v>
      </c>
      <c r="I66">
        <v>13.9</v>
      </c>
      <c r="J66">
        <v>28.4</v>
      </c>
      <c r="K66">
        <v>22.5</v>
      </c>
      <c r="L66">
        <v>15.3</v>
      </c>
      <c r="M66">
        <v>0.33800000000000002</v>
      </c>
      <c r="N66">
        <v>1.5660000000000001</v>
      </c>
      <c r="O66">
        <v>10.5</v>
      </c>
      <c r="P66">
        <v>13</v>
      </c>
      <c r="Q66">
        <v>1.2E-2</v>
      </c>
    </row>
    <row r="68" spans="1:17">
      <c r="A68">
        <v>45</v>
      </c>
      <c r="B68">
        <v>1.5</v>
      </c>
      <c r="C68" t="s">
        <v>448</v>
      </c>
      <c r="D68">
        <v>6.7000000000000002E-3</v>
      </c>
      <c r="E68">
        <v>0.01</v>
      </c>
      <c r="F68">
        <v>0.1</v>
      </c>
      <c r="G68">
        <v>12</v>
      </c>
      <c r="I68">
        <v>13.7</v>
      </c>
      <c r="J68">
        <v>28.3</v>
      </c>
      <c r="K68">
        <v>22.7</v>
      </c>
      <c r="L68">
        <v>11.5</v>
      </c>
      <c r="M68">
        <v>0.60399999999999998</v>
      </c>
      <c r="N68">
        <v>1.3480000000000001</v>
      </c>
      <c r="O68">
        <v>6.5</v>
      </c>
      <c r="P68">
        <v>15</v>
      </c>
      <c r="Q68">
        <v>1.4E-2</v>
      </c>
    </row>
    <row r="69" spans="1:17">
      <c r="A69">
        <v>60</v>
      </c>
      <c r="B69">
        <v>1</v>
      </c>
      <c r="C69" t="s">
        <v>448</v>
      </c>
      <c r="D69">
        <v>6.7000000000000002E-3</v>
      </c>
      <c r="E69">
        <v>0.01</v>
      </c>
      <c r="F69">
        <v>0.1</v>
      </c>
      <c r="G69">
        <v>12</v>
      </c>
      <c r="I69">
        <v>13.7</v>
      </c>
      <c r="J69">
        <v>28.3</v>
      </c>
      <c r="K69">
        <v>22.7</v>
      </c>
      <c r="L69">
        <v>11.5</v>
      </c>
      <c r="M69">
        <v>0.49199999999999999</v>
      </c>
      <c r="N69">
        <v>1.171</v>
      </c>
      <c r="O69">
        <v>5</v>
      </c>
      <c r="P69">
        <v>9.5</v>
      </c>
      <c r="Q69">
        <v>1.4500000000000001E-2</v>
      </c>
    </row>
    <row r="71" spans="1:17">
      <c r="A71">
        <v>45</v>
      </c>
      <c r="B71">
        <v>1.5</v>
      </c>
      <c r="C71" t="s">
        <v>449</v>
      </c>
      <c r="D71">
        <v>6.7000000000000002E-3</v>
      </c>
      <c r="E71">
        <v>0.02</v>
      </c>
      <c r="F71">
        <v>0.1</v>
      </c>
      <c r="G71">
        <v>12</v>
      </c>
      <c r="I71">
        <v>13.4</v>
      </c>
      <c r="J71">
        <v>27.5</v>
      </c>
      <c r="K71">
        <v>22.7</v>
      </c>
      <c r="L71">
        <v>7.8</v>
      </c>
      <c r="M71">
        <v>0.62</v>
      </c>
      <c r="N71">
        <v>1.333</v>
      </c>
      <c r="O71">
        <v>8</v>
      </c>
      <c r="P71">
        <v>16</v>
      </c>
      <c r="Q71">
        <v>1.55E-2</v>
      </c>
    </row>
    <row r="72" spans="1:17">
      <c r="A72">
        <v>60</v>
      </c>
      <c r="B72">
        <v>1</v>
      </c>
      <c r="C72" t="s">
        <v>449</v>
      </c>
      <c r="D72">
        <v>6.7000000000000002E-3</v>
      </c>
      <c r="E72">
        <v>0.02</v>
      </c>
      <c r="F72">
        <v>0.1</v>
      </c>
      <c r="G72">
        <v>12</v>
      </c>
      <c r="I72">
        <v>13.4</v>
      </c>
      <c r="J72">
        <v>27.5</v>
      </c>
      <c r="K72">
        <v>22.7</v>
      </c>
      <c r="L72">
        <v>7.8</v>
      </c>
      <c r="M72">
        <v>0.48799999999999999</v>
      </c>
      <c r="N72">
        <v>1.177</v>
      </c>
      <c r="O72">
        <v>5</v>
      </c>
      <c r="P72">
        <v>9.5</v>
      </c>
      <c r="Q72">
        <v>1.55E-2</v>
      </c>
    </row>
    <row r="74" spans="1:17">
      <c r="A74">
        <v>45</v>
      </c>
      <c r="B74">
        <v>1.5</v>
      </c>
      <c r="C74" t="s">
        <v>432</v>
      </c>
      <c r="D74">
        <v>0.01</v>
      </c>
      <c r="E74">
        <v>1.5E-3</v>
      </c>
      <c r="F74">
        <v>0.12</v>
      </c>
      <c r="G74">
        <v>12</v>
      </c>
      <c r="I74">
        <v>13.8</v>
      </c>
      <c r="J74">
        <v>28.4</v>
      </c>
      <c r="K74">
        <v>27.2</v>
      </c>
      <c r="L74">
        <v>18.7</v>
      </c>
      <c r="M74">
        <v>0.60599999999999998</v>
      </c>
      <c r="N74">
        <v>1.36</v>
      </c>
      <c r="O74">
        <v>8.5</v>
      </c>
      <c r="P74">
        <v>16.5</v>
      </c>
      <c r="Q74">
        <v>1.6500000000000001E-2</v>
      </c>
    </row>
    <row r="75" spans="1:17">
      <c r="A75">
        <v>60</v>
      </c>
      <c r="B75">
        <v>1</v>
      </c>
      <c r="C75" t="s">
        <v>432</v>
      </c>
      <c r="D75">
        <v>0.01</v>
      </c>
      <c r="E75">
        <v>1.5E-3</v>
      </c>
      <c r="F75">
        <v>0.12</v>
      </c>
      <c r="G75">
        <v>12</v>
      </c>
      <c r="I75">
        <v>13.8</v>
      </c>
      <c r="J75">
        <v>28.4</v>
      </c>
      <c r="K75">
        <v>27.2</v>
      </c>
      <c r="L75">
        <v>18.7</v>
      </c>
      <c r="M75">
        <v>0.499</v>
      </c>
      <c r="N75">
        <v>1.173</v>
      </c>
      <c r="O75">
        <v>6</v>
      </c>
      <c r="P75">
        <v>11</v>
      </c>
      <c r="Q75">
        <v>1.55E-2</v>
      </c>
    </row>
    <row r="76" spans="1:17">
      <c r="A76">
        <v>60</v>
      </c>
      <c r="B76">
        <v>1.5</v>
      </c>
      <c r="C76" t="s">
        <v>432</v>
      </c>
      <c r="D76">
        <v>0.01</v>
      </c>
      <c r="E76">
        <v>1.5E-3</v>
      </c>
      <c r="F76">
        <v>0.12</v>
      </c>
      <c r="G76">
        <v>12</v>
      </c>
      <c r="I76">
        <v>13.8</v>
      </c>
      <c r="J76">
        <v>28.4</v>
      </c>
      <c r="K76">
        <v>27.2</v>
      </c>
      <c r="L76">
        <v>18.7</v>
      </c>
      <c r="M76">
        <v>0.47299999999999998</v>
      </c>
      <c r="N76">
        <v>1.4379999999999999</v>
      </c>
      <c r="O76">
        <v>12</v>
      </c>
      <c r="P76">
        <v>17.5</v>
      </c>
      <c r="Q76">
        <v>1.4500000000000001E-2</v>
      </c>
    </row>
    <row r="78" spans="1:17">
      <c r="A78">
        <v>45</v>
      </c>
      <c r="B78">
        <v>1.5</v>
      </c>
      <c r="C78" t="s">
        <v>433</v>
      </c>
      <c r="D78">
        <v>1.5100000000000001E-2</v>
      </c>
      <c r="E78">
        <v>1.5E-3</v>
      </c>
      <c r="F78">
        <v>0.15</v>
      </c>
      <c r="G78">
        <v>12</v>
      </c>
      <c r="I78">
        <v>13.6</v>
      </c>
      <c r="J78">
        <v>28.2</v>
      </c>
      <c r="K78">
        <v>33.799999999999997</v>
      </c>
      <c r="L78">
        <v>22.7</v>
      </c>
      <c r="M78">
        <v>0.56899999999999995</v>
      </c>
      <c r="N78">
        <v>1.4019999999999999</v>
      </c>
      <c r="O78">
        <v>8</v>
      </c>
      <c r="P78">
        <v>14.5</v>
      </c>
      <c r="Q78">
        <v>1.7999999999999999E-2</v>
      </c>
    </row>
    <row r="79" spans="1:17">
      <c r="A79">
        <v>60</v>
      </c>
      <c r="B79">
        <v>1.5</v>
      </c>
      <c r="C79" t="s">
        <v>433</v>
      </c>
      <c r="D79">
        <v>1.5100000000000001E-2</v>
      </c>
      <c r="E79">
        <v>1.5E-3</v>
      </c>
      <c r="F79">
        <v>0.15</v>
      </c>
      <c r="G79">
        <v>12</v>
      </c>
      <c r="I79">
        <v>13.6</v>
      </c>
      <c r="J79">
        <v>28.2</v>
      </c>
      <c r="K79">
        <v>33.799999999999997</v>
      </c>
      <c r="L79">
        <v>22.7</v>
      </c>
      <c r="M79">
        <v>0.42299999999999999</v>
      </c>
      <c r="N79">
        <v>1.49</v>
      </c>
      <c r="O79">
        <v>10</v>
      </c>
      <c r="P79">
        <v>12.5</v>
      </c>
      <c r="Q79">
        <v>1.7000000000000001E-2</v>
      </c>
    </row>
    <row r="81" spans="1:17">
      <c r="A81">
        <v>30</v>
      </c>
      <c r="B81">
        <v>1</v>
      </c>
      <c r="C81" t="s">
        <v>426</v>
      </c>
      <c r="D81">
        <v>6.7000000000000002E-3</v>
      </c>
      <c r="E81">
        <v>1.5E-3</v>
      </c>
      <c r="F81">
        <v>0.1</v>
      </c>
      <c r="G81">
        <v>15</v>
      </c>
      <c r="I81">
        <v>17.100000000000001</v>
      </c>
      <c r="J81">
        <v>35.299999999999997</v>
      </c>
      <c r="K81">
        <v>22.7</v>
      </c>
      <c r="L81">
        <v>13.4</v>
      </c>
      <c r="M81">
        <v>0.79</v>
      </c>
      <c r="N81">
        <v>1.218</v>
      </c>
      <c r="O81">
        <v>7.5</v>
      </c>
      <c r="P81">
        <v>19.5</v>
      </c>
      <c r="Q81">
        <v>1.4E-2</v>
      </c>
    </row>
    <row r="82" spans="1:17">
      <c r="A82">
        <v>30</v>
      </c>
      <c r="B82">
        <v>1.5</v>
      </c>
      <c r="C82" t="s">
        <v>426</v>
      </c>
      <c r="D82">
        <v>6.7000000000000002E-3</v>
      </c>
      <c r="E82">
        <v>1.5E-3</v>
      </c>
      <c r="F82">
        <v>0.1</v>
      </c>
      <c r="G82">
        <v>15</v>
      </c>
      <c r="I82">
        <v>17.100000000000001</v>
      </c>
      <c r="J82">
        <v>35.299999999999997</v>
      </c>
      <c r="K82">
        <v>22.7</v>
      </c>
      <c r="L82">
        <v>13.4</v>
      </c>
      <c r="M82">
        <v>0.77</v>
      </c>
      <c r="N82">
        <v>1.296</v>
      </c>
      <c r="O82">
        <v>11.5</v>
      </c>
      <c r="P82">
        <v>24.5</v>
      </c>
      <c r="Q82">
        <v>1.7000000000000001E-2</v>
      </c>
    </row>
    <row r="83" spans="1:17">
      <c r="A83">
        <v>45</v>
      </c>
      <c r="B83">
        <v>1</v>
      </c>
      <c r="C83" t="s">
        <v>426</v>
      </c>
      <c r="D83">
        <v>6.7000000000000002E-3</v>
      </c>
      <c r="E83">
        <v>1.5E-3</v>
      </c>
      <c r="F83">
        <v>0.1</v>
      </c>
      <c r="G83">
        <v>15</v>
      </c>
      <c r="I83">
        <v>17.100000000000001</v>
      </c>
      <c r="J83">
        <v>35.299999999999997</v>
      </c>
      <c r="K83">
        <v>22.7</v>
      </c>
      <c r="L83">
        <v>13.4</v>
      </c>
      <c r="M83">
        <v>0.68500000000000005</v>
      </c>
      <c r="N83">
        <v>1.2330000000000001</v>
      </c>
      <c r="O83">
        <v>9.5</v>
      </c>
      <c r="P83">
        <v>19.5</v>
      </c>
      <c r="Q83">
        <v>1.4E-2</v>
      </c>
    </row>
    <row r="84" spans="1:17">
      <c r="A84">
        <v>45</v>
      </c>
      <c r="B84">
        <v>1.5</v>
      </c>
      <c r="C84" t="s">
        <v>426</v>
      </c>
      <c r="D84">
        <v>6.7000000000000002E-3</v>
      </c>
      <c r="E84">
        <v>1.5E-3</v>
      </c>
      <c r="F84">
        <v>0.1</v>
      </c>
      <c r="G84">
        <v>15</v>
      </c>
      <c r="I84">
        <v>17.100000000000001</v>
      </c>
      <c r="J84">
        <v>35.299999999999997</v>
      </c>
      <c r="K84">
        <v>22.7</v>
      </c>
      <c r="L84">
        <v>13.4</v>
      </c>
      <c r="M84">
        <v>0.64</v>
      </c>
      <c r="N84">
        <v>1.4039999999999999</v>
      </c>
      <c r="O84">
        <v>12</v>
      </c>
      <c r="P84">
        <v>24</v>
      </c>
      <c r="Q84">
        <v>1.7000000000000001E-2</v>
      </c>
    </row>
    <row r="85" spans="1:17">
      <c r="A85">
        <v>60</v>
      </c>
      <c r="B85">
        <v>1</v>
      </c>
      <c r="C85" t="s">
        <v>426</v>
      </c>
      <c r="D85">
        <v>6.7000000000000002E-3</v>
      </c>
      <c r="E85">
        <v>1.5E-3</v>
      </c>
      <c r="F85">
        <v>0.1</v>
      </c>
      <c r="G85">
        <v>15</v>
      </c>
      <c r="I85">
        <v>17.100000000000001</v>
      </c>
      <c r="J85">
        <v>35.299999999999997</v>
      </c>
      <c r="K85">
        <v>22.7</v>
      </c>
      <c r="L85">
        <v>13.4</v>
      </c>
      <c r="M85">
        <v>0.52400000000000002</v>
      </c>
      <c r="N85">
        <v>1.22</v>
      </c>
      <c r="O85">
        <v>8.5</v>
      </c>
      <c r="P85">
        <v>15.5</v>
      </c>
      <c r="Q85">
        <v>1.6E-2</v>
      </c>
    </row>
    <row r="86" spans="1:17">
      <c r="A86">
        <v>60</v>
      </c>
      <c r="B86">
        <v>1.5</v>
      </c>
      <c r="C86" t="s">
        <v>426</v>
      </c>
      <c r="D86">
        <v>6.7000000000000002E-3</v>
      </c>
      <c r="E86">
        <v>1.5E-3</v>
      </c>
      <c r="F86">
        <v>0.1</v>
      </c>
      <c r="G86">
        <v>15</v>
      </c>
      <c r="I86">
        <v>17.100000000000001</v>
      </c>
      <c r="J86">
        <v>35.299999999999997</v>
      </c>
      <c r="K86">
        <v>22.7</v>
      </c>
      <c r="L86">
        <v>13.4</v>
      </c>
      <c r="M86">
        <v>0.50600000000000001</v>
      </c>
      <c r="N86">
        <v>1.5</v>
      </c>
      <c r="O86">
        <v>15</v>
      </c>
      <c r="P86">
        <v>23</v>
      </c>
      <c r="Q86">
        <v>1.55E-2</v>
      </c>
    </row>
    <row r="87" spans="1:17">
      <c r="A87">
        <v>70</v>
      </c>
      <c r="B87">
        <v>1</v>
      </c>
      <c r="C87" t="s">
        <v>426</v>
      </c>
      <c r="D87">
        <v>6.7000000000000002E-3</v>
      </c>
      <c r="E87">
        <v>1.5E-3</v>
      </c>
      <c r="F87">
        <v>0.1</v>
      </c>
      <c r="G87">
        <v>15</v>
      </c>
      <c r="I87">
        <v>17.100000000000001</v>
      </c>
      <c r="J87">
        <v>35.299999999999997</v>
      </c>
      <c r="K87">
        <v>22.7</v>
      </c>
      <c r="L87">
        <v>13.4</v>
      </c>
      <c r="M87">
        <v>0.40500000000000003</v>
      </c>
      <c r="N87">
        <v>1.196</v>
      </c>
      <c r="O87">
        <v>8.5</v>
      </c>
      <c r="P87">
        <v>12.5</v>
      </c>
      <c r="Q87">
        <v>1.4999999999999999E-2</v>
      </c>
    </row>
    <row r="88" spans="1:17">
      <c r="A88">
        <v>70</v>
      </c>
      <c r="B88">
        <v>1.5</v>
      </c>
      <c r="C88" t="s">
        <v>426</v>
      </c>
      <c r="D88">
        <v>6.7000000000000002E-3</v>
      </c>
      <c r="E88">
        <v>1.5E-3</v>
      </c>
      <c r="F88">
        <v>0.1</v>
      </c>
      <c r="G88">
        <v>15</v>
      </c>
      <c r="I88">
        <v>17.100000000000001</v>
      </c>
      <c r="J88">
        <v>35.299999999999997</v>
      </c>
      <c r="K88">
        <v>22.7</v>
      </c>
      <c r="L88">
        <v>13.4</v>
      </c>
      <c r="M88">
        <v>0.35699999999999998</v>
      </c>
      <c r="N88">
        <v>1.6819999999999999</v>
      </c>
      <c r="O88">
        <v>13.5</v>
      </c>
      <c r="P88">
        <v>16</v>
      </c>
      <c r="Q88">
        <v>1.6E-2</v>
      </c>
    </row>
    <row r="90" spans="1:17">
      <c r="A90">
        <v>30</v>
      </c>
      <c r="B90">
        <v>1</v>
      </c>
      <c r="C90" t="s">
        <v>427</v>
      </c>
      <c r="D90">
        <v>6.7000000000000002E-3</v>
      </c>
      <c r="E90">
        <v>1.5E-3</v>
      </c>
      <c r="F90">
        <v>0.1</v>
      </c>
      <c r="G90">
        <v>18</v>
      </c>
      <c r="I90">
        <v>20.5</v>
      </c>
      <c r="J90">
        <v>42.2</v>
      </c>
      <c r="K90">
        <v>22.6</v>
      </c>
      <c r="L90">
        <v>14.7</v>
      </c>
      <c r="M90">
        <v>0.80300000000000005</v>
      </c>
      <c r="N90">
        <v>1.244</v>
      </c>
      <c r="O90">
        <v>11.5</v>
      </c>
      <c r="P90">
        <v>25</v>
      </c>
      <c r="Q90">
        <v>1.6E-2</v>
      </c>
    </row>
    <row r="91" spans="1:17">
      <c r="A91">
        <v>30</v>
      </c>
      <c r="B91">
        <v>1.25</v>
      </c>
      <c r="C91" t="s">
        <v>427</v>
      </c>
      <c r="D91">
        <v>6.7000000000000002E-3</v>
      </c>
      <c r="E91">
        <v>1.5E-3</v>
      </c>
      <c r="F91">
        <v>0.1</v>
      </c>
      <c r="G91">
        <v>18</v>
      </c>
      <c r="I91">
        <v>20.5</v>
      </c>
      <c r="J91">
        <v>42.2</v>
      </c>
      <c r="K91">
        <v>22.6</v>
      </c>
      <c r="L91">
        <v>14.7</v>
      </c>
      <c r="M91">
        <v>0.78300000000000003</v>
      </c>
      <c r="N91">
        <v>1.2749999999999999</v>
      </c>
      <c r="O91">
        <v>12.5</v>
      </c>
      <c r="P91">
        <v>27</v>
      </c>
      <c r="Q91">
        <v>1.55E-2</v>
      </c>
    </row>
    <row r="92" spans="1:17">
      <c r="A92">
        <v>30</v>
      </c>
      <c r="B92">
        <v>1.5</v>
      </c>
      <c r="C92" t="s">
        <v>427</v>
      </c>
      <c r="D92">
        <v>6.7000000000000002E-3</v>
      </c>
      <c r="E92">
        <v>1.5E-3</v>
      </c>
      <c r="F92">
        <v>0.1</v>
      </c>
      <c r="G92">
        <v>18</v>
      </c>
      <c r="I92">
        <v>20.5</v>
      </c>
      <c r="J92">
        <v>42.2</v>
      </c>
      <c r="K92">
        <v>22.6</v>
      </c>
      <c r="L92">
        <v>14.7</v>
      </c>
      <c r="M92">
        <v>0.75900000000000001</v>
      </c>
      <c r="N92">
        <v>1.3160000000000001</v>
      </c>
      <c r="O92">
        <v>12.5</v>
      </c>
      <c r="P92">
        <v>28.5</v>
      </c>
      <c r="Q92">
        <v>1.7000000000000001E-2</v>
      </c>
    </row>
    <row r="93" spans="1:17">
      <c r="A93">
        <v>45</v>
      </c>
      <c r="B93">
        <v>0.5</v>
      </c>
      <c r="C93" t="s">
        <v>427</v>
      </c>
      <c r="D93">
        <v>6.7000000000000002E-3</v>
      </c>
      <c r="E93">
        <v>1.5E-3</v>
      </c>
      <c r="F93">
        <v>0.1</v>
      </c>
      <c r="G93">
        <v>18</v>
      </c>
      <c r="I93">
        <v>20.5</v>
      </c>
      <c r="J93">
        <v>42.2</v>
      </c>
      <c r="K93">
        <v>22.6</v>
      </c>
      <c r="L93">
        <v>14.7</v>
      </c>
      <c r="M93">
        <v>0.77</v>
      </c>
      <c r="N93">
        <v>1.028</v>
      </c>
      <c r="O93">
        <v>6.5</v>
      </c>
      <c r="P93">
        <v>12.5</v>
      </c>
      <c r="Q93">
        <v>1.4E-2</v>
      </c>
    </row>
    <row r="94" spans="1:17">
      <c r="A94">
        <v>45</v>
      </c>
      <c r="B94">
        <v>0.75</v>
      </c>
      <c r="C94" t="s">
        <v>427</v>
      </c>
      <c r="D94">
        <v>6.7000000000000002E-3</v>
      </c>
      <c r="E94">
        <v>1.5E-3</v>
      </c>
      <c r="F94">
        <v>0.1</v>
      </c>
      <c r="G94">
        <v>18</v>
      </c>
      <c r="I94">
        <v>20.5</v>
      </c>
      <c r="J94">
        <v>42.2</v>
      </c>
      <c r="K94">
        <v>22.6</v>
      </c>
      <c r="L94">
        <v>14.7</v>
      </c>
      <c r="M94">
        <v>0.72899999999999998</v>
      </c>
      <c r="N94">
        <v>1.1539999999999999</v>
      </c>
      <c r="O94">
        <v>10.5</v>
      </c>
      <c r="P94">
        <v>20</v>
      </c>
      <c r="Q94">
        <v>1.9E-2</v>
      </c>
    </row>
    <row r="95" spans="1:17">
      <c r="A95">
        <v>45</v>
      </c>
      <c r="B95">
        <v>1</v>
      </c>
      <c r="C95" t="s">
        <v>427</v>
      </c>
      <c r="D95">
        <v>6.7000000000000002E-3</v>
      </c>
      <c r="E95">
        <v>1.5E-3</v>
      </c>
      <c r="F95">
        <v>0.1</v>
      </c>
      <c r="G95">
        <v>18</v>
      </c>
      <c r="I95">
        <v>20.5</v>
      </c>
      <c r="J95">
        <v>42.2</v>
      </c>
      <c r="K95">
        <v>22.6</v>
      </c>
      <c r="L95">
        <v>14.7</v>
      </c>
      <c r="M95">
        <v>0.66900000000000004</v>
      </c>
      <c r="N95">
        <v>1.2849999999999999</v>
      </c>
      <c r="O95">
        <v>9.5</v>
      </c>
      <c r="P95">
        <v>20</v>
      </c>
      <c r="Q95">
        <v>1.35E-2</v>
      </c>
    </row>
    <row r="96" spans="1:17">
      <c r="A96">
        <v>45</v>
      </c>
      <c r="B96">
        <v>1.25</v>
      </c>
      <c r="C96" t="s">
        <v>427</v>
      </c>
      <c r="D96">
        <v>6.7000000000000002E-3</v>
      </c>
      <c r="E96">
        <v>1.5E-3</v>
      </c>
      <c r="F96">
        <v>0.1</v>
      </c>
      <c r="G96">
        <v>18</v>
      </c>
      <c r="I96">
        <v>20.5</v>
      </c>
      <c r="J96">
        <v>42.2</v>
      </c>
      <c r="K96">
        <v>22.6</v>
      </c>
      <c r="L96">
        <v>14.7</v>
      </c>
      <c r="M96">
        <v>0.67900000000000005</v>
      </c>
      <c r="N96">
        <v>1.375</v>
      </c>
      <c r="O96">
        <v>15</v>
      </c>
      <c r="P96">
        <v>27.5</v>
      </c>
      <c r="Q96">
        <v>1.6E-2</v>
      </c>
    </row>
    <row r="97" spans="1:17">
      <c r="A97">
        <v>45</v>
      </c>
      <c r="B97">
        <v>1.5</v>
      </c>
      <c r="C97" t="s">
        <v>427</v>
      </c>
      <c r="D97">
        <v>6.7000000000000002E-3</v>
      </c>
      <c r="E97">
        <v>1.5E-3</v>
      </c>
      <c r="F97">
        <v>0.1</v>
      </c>
      <c r="G97">
        <v>18</v>
      </c>
      <c r="I97">
        <v>20.5</v>
      </c>
      <c r="J97">
        <v>42.2</v>
      </c>
      <c r="K97">
        <v>22.6</v>
      </c>
      <c r="L97">
        <v>14.7</v>
      </c>
      <c r="M97">
        <v>0.65800000000000003</v>
      </c>
      <c r="N97">
        <v>1.458</v>
      </c>
      <c r="O97">
        <v>16</v>
      </c>
      <c r="P97">
        <v>31</v>
      </c>
      <c r="Q97">
        <v>1.7500000000000002E-2</v>
      </c>
    </row>
    <row r="98" spans="1:17">
      <c r="A98">
        <v>60</v>
      </c>
      <c r="B98">
        <v>0.5</v>
      </c>
      <c r="C98" t="s">
        <v>427</v>
      </c>
      <c r="D98">
        <v>6.7000000000000002E-3</v>
      </c>
      <c r="E98">
        <v>1.5E-3</v>
      </c>
      <c r="F98">
        <v>0.1</v>
      </c>
      <c r="G98">
        <v>18</v>
      </c>
      <c r="I98">
        <v>20.5</v>
      </c>
      <c r="J98">
        <v>42.2</v>
      </c>
      <c r="K98">
        <v>22.6</v>
      </c>
      <c r="L98">
        <v>14.7</v>
      </c>
      <c r="M98">
        <v>0.65500000000000003</v>
      </c>
      <c r="N98">
        <v>1.002</v>
      </c>
      <c r="O98">
        <v>5</v>
      </c>
      <c r="P98">
        <v>9</v>
      </c>
      <c r="Q98">
        <v>2.2499999999999999E-2</v>
      </c>
    </row>
    <row r="99" spans="1:17">
      <c r="A99">
        <v>60</v>
      </c>
      <c r="B99">
        <v>0.75</v>
      </c>
      <c r="C99" t="s">
        <v>427</v>
      </c>
      <c r="D99">
        <v>6.7000000000000002E-3</v>
      </c>
      <c r="E99">
        <v>1.5E-3</v>
      </c>
      <c r="F99">
        <v>0.1</v>
      </c>
      <c r="G99">
        <v>18</v>
      </c>
      <c r="I99">
        <v>20.5</v>
      </c>
      <c r="J99">
        <v>42.2</v>
      </c>
      <c r="K99">
        <v>22.6</v>
      </c>
      <c r="L99">
        <v>14.7</v>
      </c>
      <c r="M99">
        <v>0.56899999999999995</v>
      </c>
      <c r="N99">
        <v>1.0589999999999999</v>
      </c>
      <c r="O99">
        <v>9</v>
      </c>
      <c r="P99">
        <v>16</v>
      </c>
      <c r="Q99">
        <v>1.6E-2</v>
      </c>
    </row>
    <row r="100" spans="1:17">
      <c r="A100">
        <v>60</v>
      </c>
      <c r="B100">
        <v>1</v>
      </c>
      <c r="C100" t="s">
        <v>427</v>
      </c>
      <c r="D100">
        <v>6.7000000000000002E-3</v>
      </c>
      <c r="E100">
        <v>1.5E-3</v>
      </c>
      <c r="F100">
        <v>0.1</v>
      </c>
      <c r="G100">
        <v>18</v>
      </c>
      <c r="I100">
        <v>20.5</v>
      </c>
      <c r="J100">
        <v>42.2</v>
      </c>
      <c r="K100">
        <v>22.6</v>
      </c>
      <c r="L100">
        <v>14.7</v>
      </c>
      <c r="M100">
        <v>0.52500000000000002</v>
      </c>
      <c r="N100">
        <v>1.278</v>
      </c>
      <c r="O100">
        <v>10</v>
      </c>
      <c r="P100">
        <v>17.5</v>
      </c>
      <c r="Q100">
        <v>1.4500000000000001E-2</v>
      </c>
    </row>
    <row r="101" spans="1:17">
      <c r="A101">
        <v>60</v>
      </c>
      <c r="B101">
        <v>1.25</v>
      </c>
      <c r="C101" t="s">
        <v>427</v>
      </c>
      <c r="D101">
        <v>6.7000000000000002E-3</v>
      </c>
      <c r="E101">
        <v>1.5E-3</v>
      </c>
      <c r="F101">
        <v>0.1</v>
      </c>
      <c r="G101">
        <v>18</v>
      </c>
      <c r="I101">
        <v>20.5</v>
      </c>
      <c r="J101">
        <v>42.2</v>
      </c>
      <c r="K101">
        <v>22.6</v>
      </c>
      <c r="L101">
        <v>14.7</v>
      </c>
      <c r="M101">
        <v>0.52500000000000002</v>
      </c>
      <c r="N101">
        <v>1.4590000000000001</v>
      </c>
      <c r="O101">
        <v>15</v>
      </c>
      <c r="P101">
        <v>23.5</v>
      </c>
      <c r="Q101">
        <v>1.4E-2</v>
      </c>
    </row>
    <row r="102" spans="1:17">
      <c r="A102">
        <v>60</v>
      </c>
      <c r="B102">
        <v>1.5</v>
      </c>
      <c r="C102" t="s">
        <v>427</v>
      </c>
      <c r="D102">
        <v>6.7000000000000002E-3</v>
      </c>
      <c r="E102">
        <v>1.5E-3</v>
      </c>
      <c r="F102">
        <v>0.1</v>
      </c>
      <c r="G102">
        <v>18</v>
      </c>
      <c r="I102">
        <v>20.5</v>
      </c>
      <c r="J102">
        <v>42.2</v>
      </c>
      <c r="K102">
        <v>22.6</v>
      </c>
      <c r="L102">
        <v>14.7</v>
      </c>
      <c r="M102">
        <v>0.505</v>
      </c>
      <c r="N102">
        <v>1.603</v>
      </c>
      <c r="O102">
        <v>17</v>
      </c>
      <c r="P102">
        <v>26.5</v>
      </c>
      <c r="Q102">
        <v>1.6500000000000001E-2</v>
      </c>
    </row>
    <row r="104" spans="1:17">
      <c r="A104">
        <v>45</v>
      </c>
      <c r="B104">
        <v>1</v>
      </c>
      <c r="C104" t="s">
        <v>428</v>
      </c>
      <c r="D104">
        <v>6.7000000000000002E-3</v>
      </c>
      <c r="E104">
        <v>1.5E-3</v>
      </c>
      <c r="F104">
        <v>0.1</v>
      </c>
      <c r="G104">
        <v>21</v>
      </c>
      <c r="I104">
        <v>23.8</v>
      </c>
      <c r="J104">
        <v>48.9</v>
      </c>
      <c r="K104">
        <v>22.4</v>
      </c>
      <c r="L104">
        <v>14.4</v>
      </c>
      <c r="M104">
        <v>0.70399999999999996</v>
      </c>
      <c r="N104">
        <v>1.33</v>
      </c>
      <c r="O104">
        <v>15.5</v>
      </c>
      <c r="P104">
        <v>29</v>
      </c>
      <c r="Q104">
        <v>1.6500000000000001E-2</v>
      </c>
    </row>
    <row r="105" spans="1:17">
      <c r="A105">
        <v>45</v>
      </c>
      <c r="B105">
        <v>1.5</v>
      </c>
      <c r="C105" t="s">
        <v>428</v>
      </c>
      <c r="D105">
        <v>6.7000000000000002E-3</v>
      </c>
      <c r="E105">
        <v>1.5E-3</v>
      </c>
      <c r="F105">
        <v>0.1</v>
      </c>
      <c r="G105">
        <v>21</v>
      </c>
      <c r="I105">
        <v>23.8</v>
      </c>
      <c r="J105">
        <v>48.9</v>
      </c>
      <c r="K105">
        <v>22.4</v>
      </c>
      <c r="L105">
        <v>14.4</v>
      </c>
      <c r="M105">
        <v>0.66300000000000003</v>
      </c>
      <c r="N105">
        <v>1.5049999999999999</v>
      </c>
      <c r="O105">
        <v>19</v>
      </c>
      <c r="P105">
        <v>36</v>
      </c>
      <c r="Q105">
        <v>1.7999999999999999E-2</v>
      </c>
    </row>
    <row r="106" spans="1:17">
      <c r="A106">
        <v>60</v>
      </c>
      <c r="B106">
        <v>1</v>
      </c>
      <c r="C106" t="s">
        <v>428</v>
      </c>
      <c r="D106">
        <v>6.7000000000000002E-3</v>
      </c>
      <c r="E106">
        <v>1.5E-3</v>
      </c>
      <c r="F106">
        <v>0.1</v>
      </c>
      <c r="G106">
        <v>21</v>
      </c>
      <c r="I106">
        <v>23.8</v>
      </c>
      <c r="J106">
        <v>48.9</v>
      </c>
      <c r="K106">
        <v>22.4</v>
      </c>
      <c r="L106">
        <v>14.4</v>
      </c>
      <c r="M106">
        <v>0.54200000000000004</v>
      </c>
      <c r="N106">
        <v>1.335</v>
      </c>
      <c r="O106">
        <v>13</v>
      </c>
      <c r="P106">
        <v>20.5</v>
      </c>
      <c r="Q106">
        <v>2.2499999999999999E-2</v>
      </c>
    </row>
    <row r="108" spans="1:17">
      <c r="A108">
        <v>45</v>
      </c>
      <c r="B108">
        <v>1</v>
      </c>
      <c r="C108" t="s">
        <v>429</v>
      </c>
      <c r="D108">
        <v>6.7000000000000002E-3</v>
      </c>
      <c r="E108">
        <v>1.5E-3</v>
      </c>
      <c r="F108">
        <v>0.1</v>
      </c>
      <c r="G108">
        <v>24</v>
      </c>
      <c r="I108">
        <v>27.1</v>
      </c>
      <c r="J108">
        <v>55.5</v>
      </c>
      <c r="K108">
        <v>22.3</v>
      </c>
      <c r="L108">
        <v>14.1</v>
      </c>
      <c r="M108">
        <v>0.70799999999999996</v>
      </c>
      <c r="N108">
        <v>1.377</v>
      </c>
      <c r="O108">
        <v>18</v>
      </c>
      <c r="P108">
        <v>33.5</v>
      </c>
      <c r="Q108">
        <v>1.6500000000000001E-2</v>
      </c>
    </row>
    <row r="109" spans="1:17">
      <c r="A109">
        <v>45</v>
      </c>
      <c r="B109">
        <v>1.5</v>
      </c>
      <c r="C109" t="s">
        <v>429</v>
      </c>
      <c r="D109">
        <v>6.7000000000000002E-3</v>
      </c>
      <c r="E109">
        <v>1.5E-3</v>
      </c>
      <c r="F109">
        <v>0.1</v>
      </c>
      <c r="G109">
        <v>24</v>
      </c>
      <c r="I109">
        <v>27.1</v>
      </c>
      <c r="J109">
        <v>55.5</v>
      </c>
      <c r="K109">
        <v>22.3</v>
      </c>
      <c r="L109">
        <v>14.1</v>
      </c>
      <c r="M109">
        <v>0.66</v>
      </c>
      <c r="N109">
        <v>1.512</v>
      </c>
      <c r="O109">
        <v>21</v>
      </c>
      <c r="P109">
        <v>40</v>
      </c>
      <c r="Q109">
        <v>1.9E-2</v>
      </c>
    </row>
    <row r="110" spans="1:17">
      <c r="A110">
        <v>60</v>
      </c>
      <c r="B110">
        <v>1.5</v>
      </c>
      <c r="C110" t="s">
        <v>429</v>
      </c>
      <c r="D110">
        <v>6.7000000000000002E-3</v>
      </c>
      <c r="E110">
        <v>1.5E-3</v>
      </c>
      <c r="F110">
        <v>0.1</v>
      </c>
      <c r="G110">
        <v>24</v>
      </c>
      <c r="I110">
        <v>27.1</v>
      </c>
      <c r="J110">
        <v>55.5</v>
      </c>
      <c r="K110">
        <v>22.3</v>
      </c>
      <c r="L110">
        <v>14.1</v>
      </c>
      <c r="M110">
        <v>0.52800000000000002</v>
      </c>
      <c r="N110">
        <v>1.758</v>
      </c>
      <c r="O110">
        <v>23</v>
      </c>
      <c r="P110">
        <v>36</v>
      </c>
      <c r="Q110">
        <v>2.5000000000000001E-2</v>
      </c>
    </row>
    <row r="112" spans="1:17">
      <c r="A112">
        <v>0</v>
      </c>
      <c r="B112">
        <v>1E-3</v>
      </c>
      <c r="C112" t="s">
        <v>535</v>
      </c>
      <c r="D112" s="258">
        <v>2.3999999999999998E-3</v>
      </c>
      <c r="E112" s="258">
        <v>1E-4</v>
      </c>
      <c r="F112">
        <v>0.06</v>
      </c>
      <c r="G112">
        <v>0</v>
      </c>
      <c r="I112">
        <v>0</v>
      </c>
      <c r="J112">
        <v>0</v>
      </c>
      <c r="K112">
        <v>13.4</v>
      </c>
      <c r="L112">
        <v>9.1</v>
      </c>
      <c r="M112">
        <v>1</v>
      </c>
      <c r="N112">
        <v>1</v>
      </c>
      <c r="O112">
        <v>-4</v>
      </c>
      <c r="P112">
        <v>0</v>
      </c>
      <c r="Q112">
        <v>8.9999999999999993E-3</v>
      </c>
    </row>
    <row r="113" spans="1:17">
      <c r="A113">
        <v>0</v>
      </c>
      <c r="B113">
        <v>1E-3</v>
      </c>
      <c r="C113" t="s">
        <v>536</v>
      </c>
      <c r="D113" s="258">
        <v>5.4999999999999997E-3</v>
      </c>
      <c r="E113" s="258">
        <v>1E-4</v>
      </c>
      <c r="F113">
        <v>0.09</v>
      </c>
      <c r="G113">
        <v>0</v>
      </c>
      <c r="I113">
        <v>0</v>
      </c>
      <c r="J113">
        <v>0</v>
      </c>
      <c r="K113">
        <v>20.399999999999999</v>
      </c>
      <c r="L113">
        <v>14</v>
      </c>
      <c r="M113">
        <v>1</v>
      </c>
      <c r="N113">
        <v>1</v>
      </c>
      <c r="O113">
        <v>-5.5</v>
      </c>
      <c r="P113">
        <v>0</v>
      </c>
      <c r="Q113">
        <v>8.9999999999999993E-3</v>
      </c>
    </row>
    <row r="114" spans="1:17">
      <c r="A114">
        <v>0</v>
      </c>
      <c r="B114">
        <v>1E-3</v>
      </c>
      <c r="C114" t="s">
        <v>537</v>
      </c>
      <c r="D114" s="258">
        <v>2.3999999999999998E-3</v>
      </c>
      <c r="E114" s="258">
        <v>1E-4</v>
      </c>
      <c r="F114">
        <v>0.06</v>
      </c>
      <c r="G114">
        <v>2</v>
      </c>
      <c r="I114">
        <v>2.2999999999999998</v>
      </c>
      <c r="J114">
        <v>4.7</v>
      </c>
      <c r="K114">
        <v>13.4</v>
      </c>
      <c r="L114">
        <v>9.1</v>
      </c>
      <c r="M114">
        <v>1</v>
      </c>
      <c r="N114">
        <v>1</v>
      </c>
      <c r="O114">
        <v>-4.5</v>
      </c>
      <c r="P114">
        <v>0</v>
      </c>
      <c r="Q114">
        <v>8.9999999999999993E-3</v>
      </c>
    </row>
    <row r="115" spans="1:17">
      <c r="A115">
        <v>0</v>
      </c>
      <c r="B115">
        <v>1E-3</v>
      </c>
      <c r="C115" t="s">
        <v>538</v>
      </c>
      <c r="D115" s="258">
        <v>5.4999999999999997E-3</v>
      </c>
      <c r="E115" s="258">
        <v>1E-4</v>
      </c>
      <c r="F115">
        <v>0.09</v>
      </c>
      <c r="G115">
        <v>2</v>
      </c>
      <c r="I115">
        <v>2.2999999999999998</v>
      </c>
      <c r="J115">
        <v>4.7</v>
      </c>
      <c r="K115">
        <v>20.399999999999999</v>
      </c>
      <c r="L115">
        <v>14</v>
      </c>
      <c r="M115">
        <v>1</v>
      </c>
      <c r="N115">
        <v>1</v>
      </c>
      <c r="O115">
        <v>-5</v>
      </c>
      <c r="P115">
        <v>0</v>
      </c>
      <c r="Q115">
        <v>8.9999999999999993E-3</v>
      </c>
    </row>
    <row r="116" spans="1:17">
      <c r="A116">
        <v>0</v>
      </c>
      <c r="B116">
        <v>1E-3</v>
      </c>
      <c r="C116" t="s">
        <v>511</v>
      </c>
      <c r="D116" s="258">
        <v>6.7000000000000002E-3</v>
      </c>
      <c r="E116" s="258">
        <v>1E-4</v>
      </c>
      <c r="F116">
        <v>0.1</v>
      </c>
      <c r="G116">
        <v>4</v>
      </c>
      <c r="I116">
        <v>4.5999999999999996</v>
      </c>
      <c r="J116">
        <v>9.5</v>
      </c>
      <c r="K116">
        <v>22.8</v>
      </c>
      <c r="L116">
        <v>15.6</v>
      </c>
      <c r="M116">
        <v>1</v>
      </c>
      <c r="N116">
        <v>1</v>
      </c>
      <c r="O116">
        <v>-5</v>
      </c>
      <c r="P116">
        <v>0</v>
      </c>
      <c r="Q116">
        <v>8.9999999999999993E-3</v>
      </c>
    </row>
    <row r="117" spans="1:17">
      <c r="A117">
        <v>0</v>
      </c>
      <c r="B117">
        <v>1E-3</v>
      </c>
      <c r="C117" t="s">
        <v>539</v>
      </c>
      <c r="D117" s="258">
        <v>0.01</v>
      </c>
      <c r="E117" s="258">
        <v>1E-4</v>
      </c>
      <c r="F117">
        <v>0.12</v>
      </c>
      <c r="G117">
        <v>0</v>
      </c>
      <c r="I117">
        <v>0</v>
      </c>
      <c r="J117">
        <v>0</v>
      </c>
      <c r="K117">
        <v>27.2</v>
      </c>
      <c r="L117">
        <v>18.7</v>
      </c>
      <c r="M117">
        <v>1</v>
      </c>
      <c r="N117">
        <v>1</v>
      </c>
      <c r="O117">
        <v>-5.5</v>
      </c>
      <c r="P117">
        <v>0</v>
      </c>
      <c r="Q117">
        <v>8.9999999999999993E-3</v>
      </c>
    </row>
    <row r="118" spans="1:17">
      <c r="A118">
        <v>0</v>
      </c>
      <c r="B118">
        <v>1E-3</v>
      </c>
      <c r="C118" t="s">
        <v>540</v>
      </c>
      <c r="D118" s="258">
        <v>0.01</v>
      </c>
      <c r="E118" s="258">
        <v>1E-4</v>
      </c>
      <c r="F118">
        <v>0.12</v>
      </c>
      <c r="G118">
        <v>2</v>
      </c>
      <c r="I118">
        <v>2.2999999999999998</v>
      </c>
      <c r="J118">
        <v>4.7</v>
      </c>
      <c r="K118">
        <v>27.2</v>
      </c>
      <c r="L118">
        <v>18.7</v>
      </c>
      <c r="M118">
        <v>1</v>
      </c>
      <c r="N118">
        <v>1</v>
      </c>
      <c r="O118">
        <v>-5.5</v>
      </c>
      <c r="P118">
        <v>0</v>
      </c>
      <c r="Q118">
        <v>0.01</v>
      </c>
    </row>
    <row r="119" spans="1:17">
      <c r="A119">
        <v>0</v>
      </c>
      <c r="B119">
        <v>1E-3</v>
      </c>
      <c r="C119" t="s">
        <v>541</v>
      </c>
      <c r="D119" s="258">
        <v>0.01</v>
      </c>
      <c r="E119" s="258">
        <v>1E-4</v>
      </c>
      <c r="F119">
        <v>0.12</v>
      </c>
      <c r="G119">
        <v>4</v>
      </c>
      <c r="I119">
        <v>4.5999999999999996</v>
      </c>
      <c r="J119">
        <v>9.5</v>
      </c>
      <c r="K119">
        <v>27.2</v>
      </c>
      <c r="L119">
        <v>18.7</v>
      </c>
      <c r="M119">
        <v>1</v>
      </c>
      <c r="N119">
        <v>1</v>
      </c>
      <c r="O119">
        <v>-6</v>
      </c>
      <c r="P119">
        <v>0</v>
      </c>
      <c r="Q119">
        <v>0.01</v>
      </c>
    </row>
    <row r="120" spans="1:17">
      <c r="A120">
        <v>0</v>
      </c>
      <c r="B120">
        <v>1E-3</v>
      </c>
      <c r="C120" t="s">
        <v>542</v>
      </c>
      <c r="D120" s="258">
        <v>1.5100000000000001E-2</v>
      </c>
      <c r="E120" s="258">
        <v>1E-4</v>
      </c>
      <c r="F120">
        <v>0.15</v>
      </c>
      <c r="G120">
        <v>0</v>
      </c>
      <c r="I120">
        <v>0</v>
      </c>
      <c r="J120">
        <v>0</v>
      </c>
      <c r="K120">
        <v>33.799999999999997</v>
      </c>
      <c r="L120">
        <v>22.7</v>
      </c>
      <c r="M120">
        <v>1</v>
      </c>
      <c r="N120">
        <v>1</v>
      </c>
      <c r="O120">
        <v>-6.5</v>
      </c>
      <c r="P120">
        <v>0</v>
      </c>
      <c r="Q120">
        <v>0.01</v>
      </c>
    </row>
    <row r="121" spans="1:17">
      <c r="A121">
        <v>0</v>
      </c>
      <c r="B121">
        <v>1E-3</v>
      </c>
      <c r="C121" t="s">
        <v>543</v>
      </c>
      <c r="D121" s="258">
        <v>1.5100000000000001E-2</v>
      </c>
      <c r="E121" s="258">
        <v>1E-4</v>
      </c>
      <c r="F121">
        <v>0.15</v>
      </c>
      <c r="G121">
        <v>2</v>
      </c>
      <c r="I121">
        <v>2.2999999999999998</v>
      </c>
      <c r="J121">
        <v>4.7</v>
      </c>
      <c r="K121">
        <v>33.799999999999997</v>
      </c>
      <c r="L121">
        <v>22.7</v>
      </c>
      <c r="M121">
        <v>1</v>
      </c>
      <c r="N121">
        <v>1</v>
      </c>
      <c r="O121">
        <v>-6.5</v>
      </c>
      <c r="P121">
        <v>0</v>
      </c>
      <c r="Q121">
        <v>0.01</v>
      </c>
    </row>
    <row r="122" spans="1:17">
      <c r="A122">
        <v>0</v>
      </c>
      <c r="B122">
        <v>1E-3</v>
      </c>
      <c r="C122" t="s">
        <v>544</v>
      </c>
      <c r="D122" s="258">
        <v>1.5100000000000001E-2</v>
      </c>
      <c r="E122" s="258">
        <v>1E-4</v>
      </c>
      <c r="F122">
        <v>0.15</v>
      </c>
      <c r="G122">
        <v>4</v>
      </c>
      <c r="I122">
        <v>4.5999999999999996</v>
      </c>
      <c r="J122">
        <v>9.5</v>
      </c>
      <c r="K122">
        <v>33.799999999999997</v>
      </c>
      <c r="L122">
        <v>22.7</v>
      </c>
      <c r="M122">
        <v>1</v>
      </c>
      <c r="N122">
        <v>1</v>
      </c>
      <c r="O122">
        <v>-6.5</v>
      </c>
      <c r="P122">
        <v>0</v>
      </c>
      <c r="Q122">
        <v>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14"/>
  <sheetViews>
    <sheetView workbookViewId="0">
      <selection activeCell="Q14" sqref="Q14"/>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30</v>
      </c>
      <c r="B5">
        <v>1</v>
      </c>
      <c r="C5" t="s">
        <v>424</v>
      </c>
      <c r="D5">
        <v>6.7000000000000002E-3</v>
      </c>
      <c r="E5">
        <v>1.5E-3</v>
      </c>
      <c r="F5">
        <v>0.1</v>
      </c>
      <c r="G5">
        <v>8</v>
      </c>
      <c r="I5">
        <v>9.1999999999999993</v>
      </c>
      <c r="J5">
        <v>19</v>
      </c>
      <c r="K5">
        <v>22.8</v>
      </c>
      <c r="L5">
        <v>15.4</v>
      </c>
      <c r="M5">
        <v>0.77400000000000002</v>
      </c>
      <c r="N5">
        <v>1.125</v>
      </c>
      <c r="O5">
        <v>1</v>
      </c>
      <c r="P5">
        <v>7</v>
      </c>
      <c r="Q5">
        <v>1.4999999999999999E-2</v>
      </c>
    </row>
    <row r="6" spans="1:17">
      <c r="A6">
        <v>30</v>
      </c>
      <c r="B6">
        <v>1.5</v>
      </c>
      <c r="C6" t="s">
        <v>424</v>
      </c>
      <c r="D6">
        <v>6.7000000000000002E-3</v>
      </c>
      <c r="E6">
        <v>1.5E-3</v>
      </c>
      <c r="F6">
        <v>0.1</v>
      </c>
      <c r="G6">
        <v>8</v>
      </c>
      <c r="I6">
        <v>9.1999999999999993</v>
      </c>
      <c r="J6">
        <v>19</v>
      </c>
      <c r="K6">
        <v>22.8</v>
      </c>
      <c r="L6">
        <v>15.4</v>
      </c>
      <c r="M6">
        <v>0.71899999999999997</v>
      </c>
      <c r="N6">
        <v>1.228</v>
      </c>
      <c r="O6">
        <v>1</v>
      </c>
      <c r="P6">
        <v>7.5</v>
      </c>
      <c r="Q6">
        <v>1.4999999999999999E-2</v>
      </c>
    </row>
    <row r="7" spans="1:17">
      <c r="A7">
        <v>30</v>
      </c>
      <c r="B7">
        <v>1</v>
      </c>
      <c r="C7" t="s">
        <v>425</v>
      </c>
      <c r="D7">
        <v>6.7000000000000002E-3</v>
      </c>
      <c r="E7">
        <v>1.5E-3</v>
      </c>
      <c r="F7">
        <v>0.1</v>
      </c>
      <c r="G7">
        <v>12</v>
      </c>
      <c r="I7">
        <v>13.9</v>
      </c>
      <c r="J7">
        <v>28.4</v>
      </c>
      <c r="K7">
        <v>22.5</v>
      </c>
      <c r="L7">
        <v>15.3</v>
      </c>
      <c r="M7">
        <v>0.79400000000000004</v>
      </c>
      <c r="N7">
        <v>1.177</v>
      </c>
      <c r="O7">
        <v>6</v>
      </c>
      <c r="P7">
        <v>14.5</v>
      </c>
      <c r="Q7">
        <v>1.4999999999999999E-2</v>
      </c>
    </row>
    <row r="8" spans="1:17">
      <c r="A8">
        <v>30</v>
      </c>
      <c r="B8">
        <v>1.25</v>
      </c>
      <c r="C8" t="s">
        <v>425</v>
      </c>
      <c r="D8">
        <v>6.7000000000000002E-3</v>
      </c>
      <c r="E8">
        <v>1.5E-3</v>
      </c>
      <c r="F8">
        <v>0.1</v>
      </c>
      <c r="G8">
        <v>12</v>
      </c>
      <c r="I8">
        <v>13.9</v>
      </c>
      <c r="J8">
        <v>28.4</v>
      </c>
      <c r="K8">
        <v>22.5</v>
      </c>
      <c r="L8">
        <v>15.3</v>
      </c>
      <c r="M8">
        <v>0.76800000000000002</v>
      </c>
      <c r="N8">
        <v>1.232</v>
      </c>
      <c r="O8">
        <v>7.5</v>
      </c>
      <c r="P8">
        <v>17.5</v>
      </c>
      <c r="Q8">
        <v>1.55E-2</v>
      </c>
    </row>
    <row r="9" spans="1:17">
      <c r="A9">
        <v>30</v>
      </c>
      <c r="B9">
        <v>1.5</v>
      </c>
      <c r="C9" t="s">
        <v>425</v>
      </c>
      <c r="D9">
        <v>6.7000000000000002E-3</v>
      </c>
      <c r="E9">
        <v>1.5E-3</v>
      </c>
      <c r="F9">
        <v>0.1</v>
      </c>
      <c r="G9">
        <v>12</v>
      </c>
      <c r="I9">
        <v>13.9</v>
      </c>
      <c r="J9">
        <v>28.4</v>
      </c>
      <c r="K9">
        <v>22.5</v>
      </c>
      <c r="L9">
        <v>15.3</v>
      </c>
      <c r="M9">
        <v>0.755</v>
      </c>
      <c r="N9">
        <v>1.282</v>
      </c>
      <c r="O9">
        <v>7.5</v>
      </c>
      <c r="P9">
        <v>18</v>
      </c>
      <c r="Q9">
        <v>1.6E-2</v>
      </c>
    </row>
    <row r="10" spans="1:17">
      <c r="A10">
        <v>30</v>
      </c>
      <c r="B10">
        <v>1</v>
      </c>
      <c r="C10" t="s">
        <v>426</v>
      </c>
      <c r="D10">
        <v>6.7000000000000002E-3</v>
      </c>
      <c r="E10">
        <v>1.5E-3</v>
      </c>
      <c r="F10">
        <v>0.1</v>
      </c>
      <c r="G10">
        <v>15</v>
      </c>
      <c r="I10">
        <v>17.100000000000001</v>
      </c>
      <c r="J10">
        <v>35.299999999999997</v>
      </c>
      <c r="K10">
        <v>22.7</v>
      </c>
      <c r="L10">
        <v>13.4</v>
      </c>
      <c r="M10">
        <v>0.79</v>
      </c>
      <c r="N10">
        <v>1.218</v>
      </c>
      <c r="O10">
        <v>7.5</v>
      </c>
      <c r="P10">
        <v>19.5</v>
      </c>
      <c r="Q10">
        <v>1.4E-2</v>
      </c>
    </row>
    <row r="11" spans="1:17">
      <c r="A11">
        <v>30</v>
      </c>
      <c r="B11">
        <v>1.5</v>
      </c>
      <c r="C11" t="s">
        <v>426</v>
      </c>
      <c r="D11">
        <v>6.7000000000000002E-3</v>
      </c>
      <c r="E11">
        <v>1.5E-3</v>
      </c>
      <c r="F11">
        <v>0.1</v>
      </c>
      <c r="G11">
        <v>15</v>
      </c>
      <c r="I11">
        <v>17.100000000000001</v>
      </c>
      <c r="J11">
        <v>35.299999999999997</v>
      </c>
      <c r="K11">
        <v>22.7</v>
      </c>
      <c r="L11">
        <v>13.4</v>
      </c>
      <c r="M11">
        <v>0.77</v>
      </c>
      <c r="N11">
        <v>1.296</v>
      </c>
      <c r="O11">
        <v>11.5</v>
      </c>
      <c r="P11">
        <v>24.5</v>
      </c>
      <c r="Q11">
        <v>1.7000000000000001E-2</v>
      </c>
    </row>
    <row r="12" spans="1:17">
      <c r="A12">
        <v>30</v>
      </c>
      <c r="B12">
        <v>1</v>
      </c>
      <c r="C12" t="s">
        <v>427</v>
      </c>
      <c r="D12">
        <v>6.7000000000000002E-3</v>
      </c>
      <c r="E12">
        <v>1.5E-3</v>
      </c>
      <c r="F12">
        <v>0.1</v>
      </c>
      <c r="G12">
        <v>18</v>
      </c>
      <c r="I12">
        <v>20.5</v>
      </c>
      <c r="J12">
        <v>42.2</v>
      </c>
      <c r="K12">
        <v>22.6</v>
      </c>
      <c r="L12">
        <v>14.7</v>
      </c>
      <c r="M12">
        <v>0.80300000000000005</v>
      </c>
      <c r="N12">
        <v>1.244</v>
      </c>
      <c r="O12">
        <v>11.5</v>
      </c>
      <c r="P12">
        <v>25</v>
      </c>
      <c r="Q12">
        <v>1.6E-2</v>
      </c>
    </row>
    <row r="13" spans="1:17">
      <c r="A13">
        <v>30</v>
      </c>
      <c r="B13">
        <v>1.25</v>
      </c>
      <c r="C13" t="s">
        <v>427</v>
      </c>
      <c r="D13">
        <v>6.7000000000000002E-3</v>
      </c>
      <c r="E13">
        <v>1.5E-3</v>
      </c>
      <c r="F13">
        <v>0.1</v>
      </c>
      <c r="G13">
        <v>18</v>
      </c>
      <c r="I13">
        <v>20.5</v>
      </c>
      <c r="J13">
        <v>42.2</v>
      </c>
      <c r="K13">
        <v>22.6</v>
      </c>
      <c r="L13">
        <v>14.7</v>
      </c>
      <c r="M13">
        <v>0.78300000000000003</v>
      </c>
      <c r="N13">
        <v>1.2749999999999999</v>
      </c>
      <c r="O13">
        <v>12.5</v>
      </c>
      <c r="P13">
        <v>27</v>
      </c>
      <c r="Q13">
        <v>1.55E-2</v>
      </c>
    </row>
    <row r="14" spans="1:17">
      <c r="A14">
        <v>30</v>
      </c>
      <c r="B14">
        <v>1.5</v>
      </c>
      <c r="C14" t="s">
        <v>427</v>
      </c>
      <c r="D14">
        <v>6.7000000000000002E-3</v>
      </c>
      <c r="E14">
        <v>1.5E-3</v>
      </c>
      <c r="F14">
        <v>0.1</v>
      </c>
      <c r="G14">
        <v>18</v>
      </c>
      <c r="I14">
        <v>20.5</v>
      </c>
      <c r="J14">
        <v>42.2</v>
      </c>
      <c r="K14">
        <v>22.6</v>
      </c>
      <c r="L14">
        <v>14.7</v>
      </c>
      <c r="M14">
        <v>0.75900000000000001</v>
      </c>
      <c r="N14">
        <v>1.3160000000000001</v>
      </c>
      <c r="O14">
        <v>12.5</v>
      </c>
      <c r="P14">
        <v>28.5</v>
      </c>
      <c r="Q14">
        <v>1.7000000000000001E-2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37"/>
  <sheetViews>
    <sheetView workbookViewId="0">
      <selection activeCell="Q37" sqref="Q3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21"/>
  <sheetViews>
    <sheetView workbookViewId="0">
      <selection activeCell="Q21" sqref="Q2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70</v>
      </c>
      <c r="B2">
        <v>0.75</v>
      </c>
      <c r="C2" t="s">
        <v>445</v>
      </c>
      <c r="D2">
        <v>2.3999999999999998E-3</v>
      </c>
      <c r="E2">
        <v>0.01</v>
      </c>
      <c r="F2">
        <v>0.06</v>
      </c>
      <c r="G2">
        <v>4</v>
      </c>
      <c r="I2">
        <v>4.5999999999999996</v>
      </c>
      <c r="J2">
        <v>9.5</v>
      </c>
      <c r="K2">
        <v>13.4</v>
      </c>
      <c r="L2">
        <v>5.3</v>
      </c>
      <c r="M2">
        <v>0.36899999999999999</v>
      </c>
      <c r="N2">
        <v>1.0009999999999999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70</v>
      </c>
      <c r="B4">
        <v>1.5</v>
      </c>
      <c r="C4" t="s">
        <v>445</v>
      </c>
      <c r="D4">
        <v>2.3999999999999998E-3</v>
      </c>
      <c r="E4">
        <v>0.01</v>
      </c>
      <c r="F4">
        <v>0.06</v>
      </c>
      <c r="G4">
        <v>4</v>
      </c>
      <c r="I4">
        <v>4.5999999999999996</v>
      </c>
      <c r="J4">
        <v>9.5</v>
      </c>
      <c r="K4">
        <v>13.4</v>
      </c>
      <c r="L4">
        <v>5.3</v>
      </c>
      <c r="M4">
        <v>0.32300000000000001</v>
      </c>
      <c r="N4">
        <v>1.145</v>
      </c>
      <c r="O4">
        <v>3.5</v>
      </c>
      <c r="P4">
        <v>5</v>
      </c>
      <c r="Q4">
        <v>8.9999999999999993E-3</v>
      </c>
    </row>
    <row r="5" spans="1:17">
      <c r="A5">
        <v>70</v>
      </c>
      <c r="B5">
        <v>2</v>
      </c>
      <c r="C5" t="s">
        <v>445</v>
      </c>
      <c r="D5">
        <v>2.3999999999999998E-3</v>
      </c>
      <c r="E5">
        <v>0.01</v>
      </c>
      <c r="F5">
        <v>0.06</v>
      </c>
      <c r="G5">
        <v>4</v>
      </c>
      <c r="I5">
        <v>4.5999999999999996</v>
      </c>
      <c r="J5">
        <v>9.5</v>
      </c>
      <c r="K5">
        <v>13.4</v>
      </c>
      <c r="L5">
        <v>5.3</v>
      </c>
      <c r="M5">
        <v>0.26</v>
      </c>
      <c r="N5">
        <v>1.319</v>
      </c>
      <c r="O5">
        <v>2</v>
      </c>
      <c r="P5">
        <v>2</v>
      </c>
      <c r="Q5">
        <v>0.01</v>
      </c>
    </row>
    <row r="6" spans="1:17">
      <c r="A6">
        <v>70</v>
      </c>
      <c r="B6">
        <v>1</v>
      </c>
      <c r="C6" t="s">
        <v>511</v>
      </c>
      <c r="D6">
        <v>6.7000000000000002E-3</v>
      </c>
      <c r="E6">
        <v>1.5E-3</v>
      </c>
      <c r="F6">
        <v>0.1</v>
      </c>
      <c r="G6">
        <v>4</v>
      </c>
      <c r="I6">
        <v>4.5999999999999996</v>
      </c>
      <c r="J6">
        <v>9.5</v>
      </c>
      <c r="K6">
        <v>22.8</v>
      </c>
      <c r="L6">
        <v>15.6</v>
      </c>
      <c r="M6">
        <v>0.28100000000000003</v>
      </c>
      <c r="N6">
        <v>1.012</v>
      </c>
      <c r="O6">
        <v>-2.5</v>
      </c>
      <c r="P6">
        <v>-2</v>
      </c>
      <c r="Q6">
        <v>1.0999999999999999E-2</v>
      </c>
    </row>
    <row r="7" spans="1:17">
      <c r="A7">
        <v>70</v>
      </c>
      <c r="B7">
        <v>1.5</v>
      </c>
      <c r="C7" t="s">
        <v>511</v>
      </c>
      <c r="D7">
        <v>6.7000000000000002E-3</v>
      </c>
      <c r="E7">
        <v>1.5E-3</v>
      </c>
      <c r="F7">
        <v>0.1</v>
      </c>
      <c r="G7">
        <v>4</v>
      </c>
      <c r="I7">
        <v>4.5999999999999996</v>
      </c>
      <c r="J7">
        <v>9.5</v>
      </c>
      <c r="K7">
        <v>22.8</v>
      </c>
      <c r="L7">
        <v>15.6</v>
      </c>
      <c r="M7">
        <v>0.26</v>
      </c>
      <c r="N7">
        <v>1.2490000000000001</v>
      </c>
      <c r="O7">
        <v>1.5</v>
      </c>
      <c r="P7">
        <v>0.5</v>
      </c>
      <c r="Q7">
        <v>1.0500000000000001E-2</v>
      </c>
    </row>
    <row r="8" spans="1:17">
      <c r="A8">
        <v>70</v>
      </c>
      <c r="B8">
        <v>0.75</v>
      </c>
      <c r="C8" t="s">
        <v>446</v>
      </c>
      <c r="D8">
        <v>2.3999999999999998E-3</v>
      </c>
      <c r="E8">
        <v>0.01</v>
      </c>
      <c r="F8">
        <v>0.06</v>
      </c>
      <c r="G8">
        <v>8</v>
      </c>
      <c r="I8">
        <v>9.1999999999999993</v>
      </c>
      <c r="J8">
        <v>19</v>
      </c>
      <c r="K8">
        <v>13.4</v>
      </c>
      <c r="L8">
        <v>5.2</v>
      </c>
      <c r="M8">
        <v>0.39</v>
      </c>
      <c r="N8">
        <v>1</v>
      </c>
      <c r="O8">
        <v>0.5</v>
      </c>
      <c r="P8">
        <v>4</v>
      </c>
      <c r="Q8">
        <v>1.0999999999999999E-2</v>
      </c>
    </row>
    <row r="9" spans="1:17">
      <c r="A9">
        <v>70</v>
      </c>
      <c r="B9">
        <v>1</v>
      </c>
      <c r="C9" t="s">
        <v>446</v>
      </c>
      <c r="D9">
        <v>2.3999999999999998E-3</v>
      </c>
      <c r="E9">
        <v>0.01</v>
      </c>
      <c r="F9">
        <v>0.06</v>
      </c>
      <c r="G9">
        <v>8</v>
      </c>
      <c r="I9">
        <v>9.1999999999999993</v>
      </c>
      <c r="J9">
        <v>19</v>
      </c>
      <c r="K9">
        <v>13.4</v>
      </c>
      <c r="L9">
        <v>5.2</v>
      </c>
      <c r="M9">
        <v>0.39</v>
      </c>
      <c r="N9">
        <v>1.075</v>
      </c>
      <c r="O9">
        <v>5.5</v>
      </c>
      <c r="P9">
        <v>9.5</v>
      </c>
      <c r="Q9">
        <v>8.9999999999999993E-3</v>
      </c>
    </row>
    <row r="10" spans="1:17">
      <c r="A10">
        <v>70</v>
      </c>
      <c r="B10">
        <v>1.5</v>
      </c>
      <c r="C10" t="s">
        <v>446</v>
      </c>
      <c r="D10">
        <v>2.3999999999999998E-3</v>
      </c>
      <c r="E10">
        <v>0.01</v>
      </c>
      <c r="F10">
        <v>0.06</v>
      </c>
      <c r="G10">
        <v>8</v>
      </c>
      <c r="I10">
        <v>9.1999999999999993</v>
      </c>
      <c r="J10">
        <v>19</v>
      </c>
      <c r="K10">
        <v>13.4</v>
      </c>
      <c r="L10">
        <v>5.2</v>
      </c>
      <c r="M10">
        <v>0.32500000000000001</v>
      </c>
      <c r="N10">
        <v>1.327</v>
      </c>
      <c r="O10">
        <v>5.5</v>
      </c>
      <c r="P10">
        <v>10</v>
      </c>
      <c r="Q10">
        <v>1.2999999999999999E-2</v>
      </c>
    </row>
    <row r="11" spans="1:17">
      <c r="A11">
        <v>70</v>
      </c>
      <c r="B11">
        <v>1</v>
      </c>
      <c r="C11" t="s">
        <v>424</v>
      </c>
      <c r="D11">
        <v>6.7000000000000002E-3</v>
      </c>
      <c r="E11">
        <v>1.5E-3</v>
      </c>
      <c r="F11">
        <v>0.1</v>
      </c>
      <c r="G11">
        <v>8</v>
      </c>
      <c r="I11">
        <v>9.1999999999999993</v>
      </c>
      <c r="J11">
        <v>19</v>
      </c>
      <c r="K11">
        <v>22.8</v>
      </c>
      <c r="L11">
        <v>15.4</v>
      </c>
      <c r="M11">
        <v>0.33400000000000002</v>
      </c>
      <c r="N11">
        <v>1.07</v>
      </c>
      <c r="O11">
        <v>1.5</v>
      </c>
      <c r="P11">
        <v>4</v>
      </c>
      <c r="Q11">
        <v>1.2999999999999999E-2</v>
      </c>
    </row>
    <row r="12" spans="1:17">
      <c r="A12">
        <v>70</v>
      </c>
      <c r="B12">
        <v>1.25</v>
      </c>
      <c r="C12" t="s">
        <v>424</v>
      </c>
      <c r="D12">
        <v>6.7000000000000002E-3</v>
      </c>
      <c r="E12">
        <v>1.5E-3</v>
      </c>
      <c r="F12">
        <v>0.1</v>
      </c>
      <c r="G12">
        <v>8</v>
      </c>
      <c r="I12">
        <v>9.1999999999999993</v>
      </c>
      <c r="J12">
        <v>19</v>
      </c>
      <c r="K12">
        <v>22.8</v>
      </c>
      <c r="L12">
        <v>15.4</v>
      </c>
      <c r="M12">
        <v>0.34599999999999997</v>
      </c>
      <c r="N12">
        <v>1.2350000000000001</v>
      </c>
      <c r="O12">
        <v>6</v>
      </c>
      <c r="P12">
        <v>8</v>
      </c>
      <c r="Q12">
        <v>0.01</v>
      </c>
    </row>
    <row r="13" spans="1:17">
      <c r="A13">
        <v>70</v>
      </c>
      <c r="B13">
        <v>1.5</v>
      </c>
      <c r="C13" t="s">
        <v>424</v>
      </c>
      <c r="D13">
        <v>6.7000000000000002E-3</v>
      </c>
      <c r="E13">
        <v>1.5E-3</v>
      </c>
      <c r="F13">
        <v>0.1</v>
      </c>
      <c r="G13">
        <v>8</v>
      </c>
      <c r="I13">
        <v>9.1999999999999993</v>
      </c>
      <c r="J13">
        <v>19</v>
      </c>
      <c r="K13">
        <v>22.8</v>
      </c>
      <c r="L13">
        <v>15.4</v>
      </c>
      <c r="M13">
        <v>0.317</v>
      </c>
      <c r="N13">
        <v>1.3939999999999999</v>
      </c>
      <c r="O13">
        <v>7</v>
      </c>
      <c r="P13">
        <v>8.5</v>
      </c>
      <c r="Q13">
        <v>1.15E-2</v>
      </c>
    </row>
    <row r="14" spans="1:17">
      <c r="A14">
        <v>70</v>
      </c>
      <c r="B14">
        <v>0.75</v>
      </c>
      <c r="C14" t="s">
        <v>447</v>
      </c>
      <c r="D14">
        <v>2.3999999999999998E-3</v>
      </c>
      <c r="E14">
        <v>0.01</v>
      </c>
      <c r="F14">
        <v>0.06</v>
      </c>
      <c r="G14">
        <v>12</v>
      </c>
      <c r="I14">
        <v>13.8</v>
      </c>
      <c r="J14">
        <v>28.4</v>
      </c>
      <c r="K14">
        <v>13.4</v>
      </c>
      <c r="L14">
        <v>5.2</v>
      </c>
      <c r="M14">
        <v>0.42299999999999999</v>
      </c>
      <c r="N14">
        <v>1.002</v>
      </c>
      <c r="O14">
        <v>3.5</v>
      </c>
      <c r="P14">
        <v>7.5</v>
      </c>
      <c r="Q14">
        <v>0.01</v>
      </c>
    </row>
    <row r="15" spans="1:17">
      <c r="A15">
        <v>70</v>
      </c>
      <c r="B15">
        <v>1</v>
      </c>
      <c r="C15" t="s">
        <v>447</v>
      </c>
      <c r="D15">
        <v>2.3999999999999998E-3</v>
      </c>
      <c r="E15">
        <v>0.01</v>
      </c>
      <c r="F15">
        <v>0.06</v>
      </c>
      <c r="G15">
        <v>12</v>
      </c>
      <c r="I15">
        <v>13.8</v>
      </c>
      <c r="J15">
        <v>28.4</v>
      </c>
      <c r="K15">
        <v>13.4</v>
      </c>
      <c r="L15">
        <v>5.2</v>
      </c>
      <c r="M15">
        <v>0.38500000000000001</v>
      </c>
      <c r="N15">
        <v>1.1259999999999999</v>
      </c>
      <c r="O15">
        <v>6</v>
      </c>
      <c r="P15">
        <v>9.5</v>
      </c>
      <c r="Q15">
        <v>1.0999999999999999E-2</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70</v>
      </c>
      <c r="B17">
        <v>1</v>
      </c>
      <c r="C17" t="s">
        <v>425</v>
      </c>
      <c r="D17">
        <v>6.7000000000000002E-3</v>
      </c>
      <c r="E17">
        <v>1.5E-3</v>
      </c>
      <c r="F17">
        <v>0.1</v>
      </c>
      <c r="G17">
        <v>12</v>
      </c>
      <c r="I17">
        <v>13.9</v>
      </c>
      <c r="J17">
        <v>28.4</v>
      </c>
      <c r="K17">
        <v>22.5</v>
      </c>
      <c r="L17">
        <v>15.3</v>
      </c>
      <c r="M17">
        <v>0.36299999999999999</v>
      </c>
      <c r="N17">
        <v>1.1399999999999999</v>
      </c>
      <c r="O17">
        <v>4.5</v>
      </c>
      <c r="P17">
        <v>7.5</v>
      </c>
      <c r="Q17">
        <v>1.4999999999999999E-2</v>
      </c>
    </row>
    <row r="18" spans="1:17">
      <c r="A18">
        <v>70</v>
      </c>
      <c r="B18">
        <v>1.25</v>
      </c>
      <c r="C18" t="s">
        <v>425</v>
      </c>
      <c r="D18">
        <v>6.7000000000000002E-3</v>
      </c>
      <c r="E18">
        <v>1.5E-3</v>
      </c>
      <c r="F18">
        <v>0.1</v>
      </c>
      <c r="G18">
        <v>12</v>
      </c>
      <c r="I18">
        <v>13.9</v>
      </c>
      <c r="J18">
        <v>28.4</v>
      </c>
      <c r="K18">
        <v>22.5</v>
      </c>
      <c r="L18">
        <v>15.3</v>
      </c>
      <c r="M18">
        <v>0.36399999999999999</v>
      </c>
      <c r="N18">
        <v>1.3680000000000001</v>
      </c>
      <c r="O18">
        <v>9</v>
      </c>
      <c r="P18">
        <v>12.5</v>
      </c>
      <c r="Q18">
        <v>1.2999999999999999E-2</v>
      </c>
    </row>
    <row r="19" spans="1:17">
      <c r="A19">
        <v>70</v>
      </c>
      <c r="B19">
        <v>1.5</v>
      </c>
      <c r="C19" t="s">
        <v>425</v>
      </c>
      <c r="D19">
        <v>6.7000000000000002E-3</v>
      </c>
      <c r="E19">
        <v>1.5E-3</v>
      </c>
      <c r="F19">
        <v>0.1</v>
      </c>
      <c r="G19">
        <v>12</v>
      </c>
      <c r="I19">
        <v>13.9</v>
      </c>
      <c r="J19">
        <v>28.4</v>
      </c>
      <c r="K19">
        <v>22.5</v>
      </c>
      <c r="L19">
        <v>15.3</v>
      </c>
      <c r="M19">
        <v>0.33800000000000002</v>
      </c>
      <c r="N19">
        <v>1.5660000000000001</v>
      </c>
      <c r="O19">
        <v>10.5</v>
      </c>
      <c r="P19">
        <v>13</v>
      </c>
      <c r="Q19">
        <v>1.2E-2</v>
      </c>
    </row>
    <row r="20" spans="1:17">
      <c r="A20">
        <v>70</v>
      </c>
      <c r="B20">
        <v>1</v>
      </c>
      <c r="C20" t="s">
        <v>426</v>
      </c>
      <c r="D20">
        <v>6.7000000000000002E-3</v>
      </c>
      <c r="E20">
        <v>1.5E-3</v>
      </c>
      <c r="F20">
        <v>0.1</v>
      </c>
      <c r="G20">
        <v>15</v>
      </c>
      <c r="I20">
        <v>17.100000000000001</v>
      </c>
      <c r="J20">
        <v>35.299999999999997</v>
      </c>
      <c r="K20">
        <v>22.7</v>
      </c>
      <c r="L20">
        <v>13.4</v>
      </c>
      <c r="M20">
        <v>0.40500000000000003</v>
      </c>
      <c r="N20">
        <v>1.196</v>
      </c>
      <c r="O20">
        <v>8.5</v>
      </c>
      <c r="P20">
        <v>12.5</v>
      </c>
      <c r="Q20">
        <v>1.4999999999999999E-2</v>
      </c>
    </row>
    <row r="21" spans="1:17">
      <c r="A21">
        <v>70</v>
      </c>
      <c r="B21">
        <v>1.5</v>
      </c>
      <c r="C21" t="s">
        <v>426</v>
      </c>
      <c r="D21">
        <v>6.7000000000000002E-3</v>
      </c>
      <c r="E21">
        <v>1.5E-3</v>
      </c>
      <c r="F21">
        <v>0.1</v>
      </c>
      <c r="G21">
        <v>15</v>
      </c>
      <c r="I21">
        <v>17.100000000000001</v>
      </c>
      <c r="J21">
        <v>35.299999999999997</v>
      </c>
      <c r="K21">
        <v>22.7</v>
      </c>
      <c r="L21">
        <v>13.4</v>
      </c>
      <c r="M21">
        <v>0.35699999999999998</v>
      </c>
      <c r="N21">
        <v>1.6819999999999999</v>
      </c>
      <c r="O21">
        <v>13.5</v>
      </c>
      <c r="P21">
        <v>16</v>
      </c>
      <c r="Q21">
        <v>1.6E-2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0" spans="1:17">
      <c r="A10">
        <v>60</v>
      </c>
      <c r="B10">
        <v>0.75</v>
      </c>
      <c r="C10" t="s">
        <v>446</v>
      </c>
      <c r="D10">
        <v>2.3999999999999998E-3</v>
      </c>
      <c r="E10">
        <v>0.01</v>
      </c>
      <c r="F10">
        <v>0.06</v>
      </c>
      <c r="G10">
        <v>8</v>
      </c>
      <c r="I10">
        <v>9.1999999999999993</v>
      </c>
      <c r="J10">
        <v>19</v>
      </c>
      <c r="K10">
        <v>13.4</v>
      </c>
      <c r="L10">
        <v>5.2</v>
      </c>
      <c r="M10">
        <v>0.51500000000000001</v>
      </c>
      <c r="N10">
        <v>1.004</v>
      </c>
      <c r="O10">
        <v>1</v>
      </c>
      <c r="P10">
        <v>4.5</v>
      </c>
      <c r="Q10">
        <v>0.01</v>
      </c>
    </row>
    <row r="11" spans="1:17">
      <c r="A11">
        <v>60</v>
      </c>
      <c r="B11">
        <v>1</v>
      </c>
      <c r="C11" t="s">
        <v>446</v>
      </c>
      <c r="D11">
        <v>2.3999999999999998E-3</v>
      </c>
      <c r="E11">
        <v>0.01</v>
      </c>
      <c r="F11">
        <v>0.06</v>
      </c>
      <c r="G11">
        <v>8</v>
      </c>
      <c r="I11">
        <v>9.1999999999999993</v>
      </c>
      <c r="J11">
        <v>19</v>
      </c>
      <c r="K11">
        <v>13.4</v>
      </c>
      <c r="L11">
        <v>5.2</v>
      </c>
      <c r="M11">
        <v>0.50900000000000001</v>
      </c>
      <c r="N11">
        <v>1.0840000000000001</v>
      </c>
      <c r="O11">
        <v>4</v>
      </c>
      <c r="P11">
        <v>8</v>
      </c>
      <c r="Q11">
        <v>1.0999999999999999E-2</v>
      </c>
    </row>
    <row r="12" spans="1:17">
      <c r="A12">
        <v>60</v>
      </c>
      <c r="B12">
        <v>1.5</v>
      </c>
      <c r="C12" t="s">
        <v>446</v>
      </c>
      <c r="D12">
        <v>2.3999999999999998E-3</v>
      </c>
      <c r="E12">
        <v>0.01</v>
      </c>
      <c r="F12">
        <v>0.06</v>
      </c>
      <c r="G12">
        <v>8</v>
      </c>
      <c r="I12">
        <v>9.1999999999999993</v>
      </c>
      <c r="J12">
        <v>19</v>
      </c>
      <c r="K12">
        <v>13.4</v>
      </c>
      <c r="L12">
        <v>5.2</v>
      </c>
      <c r="M12">
        <v>0.46300000000000002</v>
      </c>
      <c r="N12">
        <v>1.242</v>
      </c>
      <c r="O12">
        <v>5</v>
      </c>
      <c r="P12">
        <v>10</v>
      </c>
      <c r="Q12">
        <v>0.01</v>
      </c>
    </row>
    <row r="13" spans="1:17">
      <c r="A13">
        <v>70</v>
      </c>
      <c r="B13">
        <v>0.75</v>
      </c>
      <c r="C13" t="s">
        <v>446</v>
      </c>
      <c r="D13">
        <v>2.3999999999999998E-3</v>
      </c>
      <c r="E13">
        <v>0.01</v>
      </c>
      <c r="F13">
        <v>0.06</v>
      </c>
      <c r="G13">
        <v>8</v>
      </c>
      <c r="I13">
        <v>9.1999999999999993</v>
      </c>
      <c r="J13">
        <v>19</v>
      </c>
      <c r="K13">
        <v>13.4</v>
      </c>
      <c r="L13">
        <v>5.2</v>
      </c>
      <c r="M13">
        <v>0.39</v>
      </c>
      <c r="N13">
        <v>1</v>
      </c>
      <c r="O13">
        <v>0.5</v>
      </c>
      <c r="P13">
        <v>4</v>
      </c>
      <c r="Q13">
        <v>1.0999999999999999E-2</v>
      </c>
    </row>
    <row r="14" spans="1:17">
      <c r="A14">
        <v>70</v>
      </c>
      <c r="B14">
        <v>1</v>
      </c>
      <c r="C14" t="s">
        <v>446</v>
      </c>
      <c r="D14">
        <v>2.3999999999999998E-3</v>
      </c>
      <c r="E14">
        <v>0.01</v>
      </c>
      <c r="F14">
        <v>0.06</v>
      </c>
      <c r="G14">
        <v>8</v>
      </c>
      <c r="I14">
        <v>9.1999999999999993</v>
      </c>
      <c r="J14">
        <v>19</v>
      </c>
      <c r="K14">
        <v>13.4</v>
      </c>
      <c r="L14">
        <v>5.2</v>
      </c>
      <c r="M14">
        <v>0.39</v>
      </c>
      <c r="N14">
        <v>1.075</v>
      </c>
      <c r="O14">
        <v>5.5</v>
      </c>
      <c r="P14">
        <v>9.5</v>
      </c>
      <c r="Q14">
        <v>8.9999999999999993E-3</v>
      </c>
    </row>
    <row r="15" spans="1:17">
      <c r="A15">
        <v>70</v>
      </c>
      <c r="B15">
        <v>1.5</v>
      </c>
      <c r="C15" t="s">
        <v>446</v>
      </c>
      <c r="D15">
        <v>2.3999999999999998E-3</v>
      </c>
      <c r="E15">
        <v>0.01</v>
      </c>
      <c r="F15">
        <v>0.06</v>
      </c>
      <c r="G15">
        <v>8</v>
      </c>
      <c r="I15">
        <v>9.1999999999999993</v>
      </c>
      <c r="J15">
        <v>19</v>
      </c>
      <c r="K15">
        <v>13.4</v>
      </c>
      <c r="L15">
        <v>5.2</v>
      </c>
      <c r="M15">
        <v>0.32500000000000001</v>
      </c>
      <c r="N15">
        <v>1.327</v>
      </c>
      <c r="O15">
        <v>5.5</v>
      </c>
      <c r="P15">
        <v>10</v>
      </c>
      <c r="Q15">
        <v>1.2999999999999999E-2</v>
      </c>
    </row>
    <row r="16" spans="1:17">
      <c r="A16">
        <v>45</v>
      </c>
      <c r="B16">
        <v>1.5</v>
      </c>
      <c r="C16" t="s">
        <v>430</v>
      </c>
      <c r="D16">
        <v>2.3999999999999998E-3</v>
      </c>
      <c r="E16">
        <v>1.5E-3</v>
      </c>
      <c r="F16">
        <v>0.06</v>
      </c>
      <c r="G16">
        <v>12</v>
      </c>
      <c r="I16">
        <v>13.8</v>
      </c>
      <c r="J16">
        <v>28.4</v>
      </c>
      <c r="K16">
        <v>13.3</v>
      </c>
      <c r="L16">
        <v>9.8000000000000007</v>
      </c>
      <c r="M16">
        <v>0.68600000000000005</v>
      </c>
      <c r="N16">
        <v>1.294</v>
      </c>
      <c r="O16">
        <v>11</v>
      </c>
      <c r="P16">
        <v>21</v>
      </c>
      <c r="Q16">
        <v>1.2E-2</v>
      </c>
    </row>
    <row r="17" spans="1:17">
      <c r="A17">
        <v>60</v>
      </c>
      <c r="B17">
        <v>1</v>
      </c>
      <c r="C17" t="s">
        <v>430</v>
      </c>
      <c r="D17">
        <v>2.3999999999999998E-3</v>
      </c>
      <c r="E17">
        <v>1.5E-3</v>
      </c>
      <c r="F17">
        <v>0.06</v>
      </c>
      <c r="G17">
        <v>12</v>
      </c>
      <c r="I17">
        <v>13.8</v>
      </c>
      <c r="J17">
        <v>28.4</v>
      </c>
      <c r="K17">
        <v>13.3</v>
      </c>
      <c r="L17">
        <v>9.8000000000000007</v>
      </c>
      <c r="M17">
        <v>0.54300000000000004</v>
      </c>
      <c r="N17">
        <v>1.1719999999999999</v>
      </c>
      <c r="O17">
        <v>8</v>
      </c>
      <c r="P17">
        <v>14</v>
      </c>
      <c r="Q17">
        <v>1.0500000000000001E-2</v>
      </c>
    </row>
    <row r="18" spans="1:17">
      <c r="A18">
        <v>60</v>
      </c>
      <c r="B18">
        <v>1.5</v>
      </c>
      <c r="C18" t="s">
        <v>430</v>
      </c>
      <c r="D18">
        <v>2.3999999999999998E-3</v>
      </c>
      <c r="E18">
        <v>1.5E-3</v>
      </c>
      <c r="F18">
        <v>0.06</v>
      </c>
      <c r="G18">
        <v>12</v>
      </c>
      <c r="I18">
        <v>13.8</v>
      </c>
      <c r="J18">
        <v>28.4</v>
      </c>
      <c r="K18">
        <v>13.3</v>
      </c>
      <c r="L18">
        <v>9.8000000000000007</v>
      </c>
      <c r="M18">
        <v>0.498</v>
      </c>
      <c r="N18">
        <v>1.4019999999999999</v>
      </c>
      <c r="O18">
        <v>10</v>
      </c>
      <c r="P18">
        <v>17.5</v>
      </c>
      <c r="Q18">
        <v>1.2E-2</v>
      </c>
    </row>
    <row r="19" spans="1:17">
      <c r="A19">
        <v>60</v>
      </c>
      <c r="B19">
        <v>0.75</v>
      </c>
      <c r="C19" t="s">
        <v>447</v>
      </c>
      <c r="D19">
        <v>2.3999999999999998E-3</v>
      </c>
      <c r="E19">
        <v>0.01</v>
      </c>
      <c r="F19">
        <v>0.06</v>
      </c>
      <c r="G19">
        <v>12</v>
      </c>
      <c r="I19">
        <v>13.8</v>
      </c>
      <c r="J19">
        <v>28.4</v>
      </c>
      <c r="K19">
        <v>13.4</v>
      </c>
      <c r="L19">
        <v>5.2</v>
      </c>
      <c r="M19">
        <v>0.56399999999999995</v>
      </c>
      <c r="N19">
        <v>1.018</v>
      </c>
      <c r="O19">
        <v>5.5</v>
      </c>
      <c r="P19">
        <v>10</v>
      </c>
      <c r="Q19">
        <v>1.2E-2</v>
      </c>
    </row>
    <row r="20" spans="1:17">
      <c r="A20">
        <v>60</v>
      </c>
      <c r="B20">
        <v>1</v>
      </c>
      <c r="C20" t="s">
        <v>447</v>
      </c>
      <c r="D20">
        <v>2.3999999999999998E-3</v>
      </c>
      <c r="E20">
        <v>0.01</v>
      </c>
      <c r="F20">
        <v>0.06</v>
      </c>
      <c r="G20">
        <v>12</v>
      </c>
      <c r="I20">
        <v>13.8</v>
      </c>
      <c r="J20">
        <v>28.4</v>
      </c>
      <c r="K20">
        <v>13.4</v>
      </c>
      <c r="L20">
        <v>5.2</v>
      </c>
      <c r="M20">
        <v>0.53600000000000003</v>
      </c>
      <c r="N20">
        <v>1.149</v>
      </c>
      <c r="O20">
        <v>7.5</v>
      </c>
      <c r="P20">
        <v>13.5</v>
      </c>
      <c r="Q20">
        <v>0.01</v>
      </c>
    </row>
    <row r="21" spans="1:17">
      <c r="A21">
        <v>60</v>
      </c>
      <c r="B21">
        <v>1.5</v>
      </c>
      <c r="C21" t="s">
        <v>447</v>
      </c>
      <c r="D21">
        <v>2.3999999999999998E-3</v>
      </c>
      <c r="E21">
        <v>0.01</v>
      </c>
      <c r="F21">
        <v>0.06</v>
      </c>
      <c r="G21">
        <v>12</v>
      </c>
      <c r="I21">
        <v>13.8</v>
      </c>
      <c r="J21">
        <v>28.4</v>
      </c>
      <c r="K21">
        <v>13.4</v>
      </c>
      <c r="L21">
        <v>5.2</v>
      </c>
      <c r="M21">
        <v>0.48499999999999999</v>
      </c>
      <c r="N21">
        <v>1.369</v>
      </c>
      <c r="O21">
        <v>9</v>
      </c>
      <c r="P21">
        <v>16.5</v>
      </c>
      <c r="Q21">
        <v>0.01</v>
      </c>
    </row>
    <row r="22" spans="1:17">
      <c r="A22">
        <v>70</v>
      </c>
      <c r="B22">
        <v>0.75</v>
      </c>
      <c r="C22" t="s">
        <v>447</v>
      </c>
      <c r="D22">
        <v>2.3999999999999998E-3</v>
      </c>
      <c r="E22">
        <v>0.01</v>
      </c>
      <c r="F22">
        <v>0.06</v>
      </c>
      <c r="G22">
        <v>12</v>
      </c>
      <c r="I22">
        <v>13.8</v>
      </c>
      <c r="J22">
        <v>28.4</v>
      </c>
      <c r="K22">
        <v>13.4</v>
      </c>
      <c r="L22">
        <v>5.2</v>
      </c>
      <c r="M22">
        <v>0.42299999999999999</v>
      </c>
      <c r="N22">
        <v>1.002</v>
      </c>
      <c r="O22">
        <v>3.5</v>
      </c>
      <c r="P22">
        <v>7.5</v>
      </c>
      <c r="Q22">
        <v>0.01</v>
      </c>
    </row>
    <row r="23" spans="1:17">
      <c r="A23">
        <v>70</v>
      </c>
      <c r="B23">
        <v>1</v>
      </c>
      <c r="C23" t="s">
        <v>447</v>
      </c>
      <c r="D23">
        <v>2.3999999999999998E-3</v>
      </c>
      <c r="E23">
        <v>0.01</v>
      </c>
      <c r="F23">
        <v>0.06</v>
      </c>
      <c r="G23">
        <v>12</v>
      </c>
      <c r="I23">
        <v>13.8</v>
      </c>
      <c r="J23">
        <v>28.4</v>
      </c>
      <c r="K23">
        <v>13.4</v>
      </c>
      <c r="L23">
        <v>5.2</v>
      </c>
      <c r="M23">
        <v>0.38500000000000001</v>
      </c>
      <c r="N23">
        <v>1.1259999999999999</v>
      </c>
      <c r="O23">
        <v>6</v>
      </c>
      <c r="P23">
        <v>9.5</v>
      </c>
      <c r="Q23">
        <v>1.0999999999999999E-2</v>
      </c>
    </row>
    <row r="24" spans="1:17">
      <c r="A24">
        <v>70</v>
      </c>
      <c r="B24">
        <v>1.5</v>
      </c>
      <c r="C24" t="s">
        <v>447</v>
      </c>
      <c r="D24">
        <v>2.3999999999999998E-3</v>
      </c>
      <c r="E24">
        <v>0.01</v>
      </c>
      <c r="F24">
        <v>0.06</v>
      </c>
      <c r="G24">
        <v>12</v>
      </c>
      <c r="I24">
        <v>13.8</v>
      </c>
      <c r="J24">
        <v>28.4</v>
      </c>
      <c r="K24">
        <v>13.4</v>
      </c>
      <c r="L24">
        <v>5.2</v>
      </c>
      <c r="M24">
        <v>0.375</v>
      </c>
      <c r="N24">
        <v>1.46</v>
      </c>
      <c r="O24">
        <v>11</v>
      </c>
      <c r="P24">
        <v>17.5</v>
      </c>
      <c r="Q24">
        <v>1.0999999999999999E-2</v>
      </c>
    </row>
    <row r="25" spans="1:17">
      <c r="A25">
        <v>0</v>
      </c>
      <c r="B25">
        <v>1E-3</v>
      </c>
      <c r="C25" t="s">
        <v>535</v>
      </c>
      <c r="D25" s="258">
        <v>2.3999999999999998E-3</v>
      </c>
      <c r="E25" s="258">
        <v>1E-4</v>
      </c>
      <c r="F25">
        <v>0.06</v>
      </c>
      <c r="G25">
        <v>0</v>
      </c>
      <c r="I25">
        <v>0</v>
      </c>
      <c r="J25">
        <v>0</v>
      </c>
      <c r="K25">
        <v>13.4</v>
      </c>
      <c r="L25">
        <v>9.1</v>
      </c>
      <c r="M25">
        <v>1</v>
      </c>
      <c r="N25">
        <v>1</v>
      </c>
      <c r="O25">
        <v>-4</v>
      </c>
      <c r="P25">
        <v>0</v>
      </c>
      <c r="Q25">
        <v>8.9999999999999993E-3</v>
      </c>
    </row>
    <row r="26" spans="1:17">
      <c r="A26">
        <v>0</v>
      </c>
      <c r="B26">
        <v>1E-3</v>
      </c>
      <c r="C26" t="s">
        <v>537</v>
      </c>
      <c r="D26" s="258">
        <v>2.3999999999999998E-3</v>
      </c>
      <c r="E26" s="258">
        <v>1E-4</v>
      </c>
      <c r="F26">
        <v>0.06</v>
      </c>
      <c r="G26">
        <v>2</v>
      </c>
      <c r="I26">
        <v>2.2999999999999998</v>
      </c>
      <c r="J26">
        <v>4.7</v>
      </c>
      <c r="K26">
        <v>13.4</v>
      </c>
      <c r="L26">
        <v>9.1</v>
      </c>
      <c r="M26">
        <v>1</v>
      </c>
      <c r="N26">
        <v>1</v>
      </c>
      <c r="O26">
        <v>-4.5</v>
      </c>
      <c r="P26">
        <v>0</v>
      </c>
      <c r="Q26">
        <v>8.9999999999999993E-3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431</v>
      </c>
      <c r="D2">
        <v>4.3E-3</v>
      </c>
      <c r="E2">
        <v>1.5E-3</v>
      </c>
      <c r="F2">
        <v>0.08</v>
      </c>
      <c r="G2">
        <v>12</v>
      </c>
      <c r="I2">
        <v>13.8</v>
      </c>
      <c r="J2">
        <v>28.4</v>
      </c>
      <c r="K2">
        <v>17.899999999999999</v>
      </c>
      <c r="L2">
        <v>12.8</v>
      </c>
      <c r="M2">
        <v>0.64800000000000002</v>
      </c>
      <c r="N2">
        <v>1.3180000000000001</v>
      </c>
      <c r="O2">
        <v>9</v>
      </c>
      <c r="P2">
        <v>19.5</v>
      </c>
      <c r="Q2">
        <v>1.35E-2</v>
      </c>
    </row>
    <row r="3" spans="1:17">
      <c r="A3">
        <v>60</v>
      </c>
      <c r="B3">
        <v>1</v>
      </c>
      <c r="C3" t="s">
        <v>431</v>
      </c>
      <c r="D3">
        <v>4.3E-3</v>
      </c>
      <c r="E3">
        <v>1.5E-3</v>
      </c>
      <c r="F3">
        <v>0.08</v>
      </c>
      <c r="G3">
        <v>12</v>
      </c>
      <c r="I3">
        <v>13.8</v>
      </c>
      <c r="J3">
        <v>28.4</v>
      </c>
      <c r="K3">
        <v>17.899999999999999</v>
      </c>
      <c r="L3">
        <v>12.8</v>
      </c>
      <c r="M3">
        <v>0.51900000000000002</v>
      </c>
      <c r="N3">
        <v>1.171</v>
      </c>
      <c r="O3">
        <v>6.5</v>
      </c>
      <c r="P3">
        <v>12</v>
      </c>
      <c r="Q3">
        <v>1.35E-2</v>
      </c>
    </row>
    <row r="4" spans="1:17">
      <c r="A4">
        <v>60</v>
      </c>
      <c r="B4">
        <v>1.5</v>
      </c>
      <c r="C4" t="s">
        <v>431</v>
      </c>
      <c r="D4">
        <v>4.3E-3</v>
      </c>
      <c r="E4">
        <v>1.5E-3</v>
      </c>
      <c r="F4">
        <v>0.08</v>
      </c>
      <c r="G4">
        <v>12</v>
      </c>
      <c r="I4">
        <v>13.8</v>
      </c>
      <c r="J4">
        <v>28.4</v>
      </c>
      <c r="K4">
        <v>17.899999999999999</v>
      </c>
      <c r="L4">
        <v>12.8</v>
      </c>
      <c r="M4">
        <v>0.48199999999999998</v>
      </c>
      <c r="N4">
        <v>1.4179999999999999</v>
      </c>
      <c r="O4">
        <v>10</v>
      </c>
      <c r="P4">
        <v>17</v>
      </c>
      <c r="Q4">
        <v>1.2999999999999999E-2</v>
      </c>
    </row>
    <row r="5" spans="1:17">
      <c r="A5">
        <v>0</v>
      </c>
      <c r="B5">
        <v>1E-3</v>
      </c>
      <c r="C5" t="s">
        <v>536</v>
      </c>
      <c r="D5" s="258">
        <v>5.4999999999999997E-3</v>
      </c>
      <c r="E5" s="258">
        <v>1E-4</v>
      </c>
      <c r="F5">
        <v>0.09</v>
      </c>
      <c r="G5">
        <v>0</v>
      </c>
      <c r="I5">
        <v>0</v>
      </c>
      <c r="J5">
        <v>0</v>
      </c>
      <c r="K5">
        <v>20.399999999999999</v>
      </c>
      <c r="L5">
        <v>14</v>
      </c>
      <c r="M5">
        <v>1</v>
      </c>
      <c r="N5">
        <v>1</v>
      </c>
      <c r="O5">
        <v>-5.5</v>
      </c>
      <c r="P5">
        <v>0</v>
      </c>
      <c r="Q5">
        <v>8.9999999999999993E-3</v>
      </c>
    </row>
    <row r="6" spans="1:17">
      <c r="A6">
        <v>0</v>
      </c>
      <c r="B6">
        <v>1E-3</v>
      </c>
      <c r="C6" t="s">
        <v>538</v>
      </c>
      <c r="D6" s="258">
        <v>5.4999999999999997E-3</v>
      </c>
      <c r="E6" s="258">
        <v>1E-4</v>
      </c>
      <c r="F6">
        <v>0.09</v>
      </c>
      <c r="G6">
        <v>2</v>
      </c>
      <c r="I6">
        <v>2.2999999999999998</v>
      </c>
      <c r="J6">
        <v>4.7</v>
      </c>
      <c r="K6">
        <v>20.399999999999999</v>
      </c>
      <c r="L6">
        <v>14</v>
      </c>
      <c r="M6">
        <v>1</v>
      </c>
      <c r="N6">
        <v>1</v>
      </c>
      <c r="O6">
        <v>-5</v>
      </c>
      <c r="P6">
        <v>0</v>
      </c>
      <c r="Q6">
        <v>8.9999999999999993E-3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65"/>
  <sheetViews>
    <sheetView workbookViewId="0">
      <selection activeCell="Q65" sqref="Q6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70</v>
      </c>
      <c r="B7">
        <v>1</v>
      </c>
      <c r="C7" t="s">
        <v>511</v>
      </c>
      <c r="D7">
        <v>6.7000000000000002E-3</v>
      </c>
      <c r="E7">
        <v>1.5E-3</v>
      </c>
      <c r="F7">
        <v>0.1</v>
      </c>
      <c r="G7">
        <v>4</v>
      </c>
      <c r="I7">
        <v>4.5999999999999996</v>
      </c>
      <c r="J7">
        <v>9.5</v>
      </c>
      <c r="K7">
        <v>22.8</v>
      </c>
      <c r="L7">
        <v>15.6</v>
      </c>
      <c r="M7">
        <v>0.28100000000000003</v>
      </c>
      <c r="N7">
        <v>1.012</v>
      </c>
      <c r="O7">
        <v>-2.5</v>
      </c>
      <c r="P7">
        <v>-2</v>
      </c>
      <c r="Q7">
        <v>1.0999999999999999E-2</v>
      </c>
    </row>
    <row r="8" spans="1:17">
      <c r="A8">
        <v>70</v>
      </c>
      <c r="B8">
        <v>1.5</v>
      </c>
      <c r="C8" t="s">
        <v>511</v>
      </c>
      <c r="D8">
        <v>6.7000000000000002E-3</v>
      </c>
      <c r="E8">
        <v>1.5E-3</v>
      </c>
      <c r="F8">
        <v>0.1</v>
      </c>
      <c r="G8">
        <v>4</v>
      </c>
      <c r="I8">
        <v>4.5999999999999996</v>
      </c>
      <c r="J8">
        <v>9.5</v>
      </c>
      <c r="K8">
        <v>22.8</v>
      </c>
      <c r="L8">
        <v>15.6</v>
      </c>
      <c r="M8">
        <v>0.26</v>
      </c>
      <c r="N8">
        <v>1.2490000000000001</v>
      </c>
      <c r="O8">
        <v>1.5</v>
      </c>
      <c r="P8">
        <v>0.5</v>
      </c>
      <c r="Q8">
        <v>1.0500000000000001E-2</v>
      </c>
    </row>
    <row r="9" spans="1:17">
      <c r="A9">
        <v>30</v>
      </c>
      <c r="B9">
        <v>1</v>
      </c>
      <c r="C9" t="s">
        <v>424</v>
      </c>
      <c r="D9">
        <v>6.7000000000000002E-3</v>
      </c>
      <c r="E9">
        <v>1.5E-3</v>
      </c>
      <c r="F9">
        <v>0.1</v>
      </c>
      <c r="G9">
        <v>8</v>
      </c>
      <c r="I9">
        <v>9.1999999999999993</v>
      </c>
      <c r="J9">
        <v>19</v>
      </c>
      <c r="K9">
        <v>22.8</v>
      </c>
      <c r="L9">
        <v>15.4</v>
      </c>
      <c r="M9">
        <v>0.77400000000000002</v>
      </c>
      <c r="N9">
        <v>1.125</v>
      </c>
      <c r="O9">
        <v>1</v>
      </c>
      <c r="P9">
        <v>7</v>
      </c>
      <c r="Q9">
        <v>1.4999999999999999E-2</v>
      </c>
    </row>
    <row r="10" spans="1:17">
      <c r="A10">
        <v>30</v>
      </c>
      <c r="B10">
        <v>1.5</v>
      </c>
      <c r="C10" t="s">
        <v>424</v>
      </c>
      <c r="D10">
        <v>6.7000000000000002E-3</v>
      </c>
      <c r="E10">
        <v>1.5E-3</v>
      </c>
      <c r="F10">
        <v>0.1</v>
      </c>
      <c r="G10">
        <v>8</v>
      </c>
      <c r="I10">
        <v>9.1999999999999993</v>
      </c>
      <c r="J10">
        <v>19</v>
      </c>
      <c r="K10">
        <v>22.8</v>
      </c>
      <c r="L10">
        <v>15.4</v>
      </c>
      <c r="M10">
        <v>0.71899999999999997</v>
      </c>
      <c r="N10">
        <v>1.228</v>
      </c>
      <c r="O10">
        <v>1</v>
      </c>
      <c r="P10">
        <v>7.5</v>
      </c>
      <c r="Q10">
        <v>1.4999999999999999E-2</v>
      </c>
    </row>
    <row r="11" spans="1:17">
      <c r="A11">
        <v>45</v>
      </c>
      <c r="B11">
        <v>1.5</v>
      </c>
      <c r="C11" t="s">
        <v>424</v>
      </c>
      <c r="D11">
        <v>6.7000000000000002E-3</v>
      </c>
      <c r="E11">
        <v>1.5E-3</v>
      </c>
      <c r="F11">
        <v>0.1</v>
      </c>
      <c r="G11">
        <v>8</v>
      </c>
      <c r="I11">
        <v>9.1999999999999993</v>
      </c>
      <c r="J11">
        <v>19</v>
      </c>
      <c r="K11">
        <v>22.8</v>
      </c>
      <c r="L11">
        <v>15.4</v>
      </c>
      <c r="M11">
        <v>0.57799999999999996</v>
      </c>
      <c r="N11">
        <v>1.258</v>
      </c>
      <c r="O11">
        <v>2</v>
      </c>
      <c r="P11">
        <v>8</v>
      </c>
      <c r="Q11">
        <v>1.55E-2</v>
      </c>
    </row>
    <row r="12" spans="1:17">
      <c r="A12">
        <v>60</v>
      </c>
      <c r="B12">
        <v>1.5</v>
      </c>
      <c r="C12" t="s">
        <v>424</v>
      </c>
      <c r="D12">
        <v>6.7000000000000002E-3</v>
      </c>
      <c r="E12">
        <v>1.5E-3</v>
      </c>
      <c r="F12">
        <v>0.1</v>
      </c>
      <c r="G12">
        <v>8</v>
      </c>
      <c r="I12">
        <v>9.1999999999999993</v>
      </c>
      <c r="J12">
        <v>19</v>
      </c>
      <c r="K12">
        <v>22.8</v>
      </c>
      <c r="L12">
        <v>15.4</v>
      </c>
      <c r="M12">
        <v>0.443</v>
      </c>
      <c r="N12">
        <v>1.306</v>
      </c>
      <c r="O12">
        <v>6</v>
      </c>
      <c r="P12">
        <v>9</v>
      </c>
      <c r="Q12">
        <v>1.0999999999999999E-2</v>
      </c>
    </row>
    <row r="13" spans="1:17">
      <c r="A13">
        <v>70</v>
      </c>
      <c r="B13">
        <v>1</v>
      </c>
      <c r="C13" t="s">
        <v>424</v>
      </c>
      <c r="D13">
        <v>6.7000000000000002E-3</v>
      </c>
      <c r="E13">
        <v>1.5E-3</v>
      </c>
      <c r="F13">
        <v>0.1</v>
      </c>
      <c r="G13">
        <v>8</v>
      </c>
      <c r="I13">
        <v>9.1999999999999993</v>
      </c>
      <c r="J13">
        <v>19</v>
      </c>
      <c r="K13">
        <v>22.8</v>
      </c>
      <c r="L13">
        <v>15.4</v>
      </c>
      <c r="M13">
        <v>0.33400000000000002</v>
      </c>
      <c r="N13">
        <v>1.07</v>
      </c>
      <c r="O13">
        <v>1.5</v>
      </c>
      <c r="P13">
        <v>4</v>
      </c>
      <c r="Q13">
        <v>1.2999999999999999E-2</v>
      </c>
    </row>
    <row r="14" spans="1:17">
      <c r="A14">
        <v>70</v>
      </c>
      <c r="B14">
        <v>1.25</v>
      </c>
      <c r="C14" t="s">
        <v>424</v>
      </c>
      <c r="D14">
        <v>6.7000000000000002E-3</v>
      </c>
      <c r="E14">
        <v>1.5E-3</v>
      </c>
      <c r="F14">
        <v>0.1</v>
      </c>
      <c r="G14">
        <v>8</v>
      </c>
      <c r="I14">
        <v>9.1999999999999993</v>
      </c>
      <c r="J14">
        <v>19</v>
      </c>
      <c r="K14">
        <v>22.8</v>
      </c>
      <c r="L14">
        <v>15.4</v>
      </c>
      <c r="M14">
        <v>0.34599999999999997</v>
      </c>
      <c r="N14">
        <v>1.2350000000000001</v>
      </c>
      <c r="O14">
        <v>6</v>
      </c>
      <c r="P14">
        <v>8</v>
      </c>
      <c r="Q14">
        <v>0.01</v>
      </c>
    </row>
    <row r="15" spans="1:17">
      <c r="A15">
        <v>70</v>
      </c>
      <c r="B15">
        <v>1.5</v>
      </c>
      <c r="C15" t="s">
        <v>424</v>
      </c>
      <c r="D15">
        <v>6.7000000000000002E-3</v>
      </c>
      <c r="E15">
        <v>1.5E-3</v>
      </c>
      <c r="F15">
        <v>0.1</v>
      </c>
      <c r="G15">
        <v>8</v>
      </c>
      <c r="I15">
        <v>9.1999999999999993</v>
      </c>
      <c r="J15">
        <v>19</v>
      </c>
      <c r="K15">
        <v>22.8</v>
      </c>
      <c r="L15">
        <v>15.4</v>
      </c>
      <c r="M15">
        <v>0.317</v>
      </c>
      <c r="N15">
        <v>1.3939999999999999</v>
      </c>
      <c r="O15">
        <v>7</v>
      </c>
      <c r="P15">
        <v>8.5</v>
      </c>
      <c r="Q15">
        <v>1.15E-2</v>
      </c>
    </row>
    <row r="16" spans="1:17">
      <c r="A16">
        <v>30</v>
      </c>
      <c r="B16">
        <v>1</v>
      </c>
      <c r="C16" t="s">
        <v>425</v>
      </c>
      <c r="D16">
        <v>6.7000000000000002E-3</v>
      </c>
      <c r="E16">
        <v>1.5E-3</v>
      </c>
      <c r="F16">
        <v>0.1</v>
      </c>
      <c r="G16">
        <v>12</v>
      </c>
      <c r="I16">
        <v>13.9</v>
      </c>
      <c r="J16">
        <v>28.4</v>
      </c>
      <c r="K16">
        <v>22.5</v>
      </c>
      <c r="L16">
        <v>15.3</v>
      </c>
      <c r="M16">
        <v>0.79400000000000004</v>
      </c>
      <c r="N16">
        <v>1.177</v>
      </c>
      <c r="O16">
        <v>6</v>
      </c>
      <c r="P16">
        <v>14.5</v>
      </c>
      <c r="Q16">
        <v>1.4999999999999999E-2</v>
      </c>
    </row>
    <row r="17" spans="1:17">
      <c r="A17">
        <v>30</v>
      </c>
      <c r="B17">
        <v>1.25</v>
      </c>
      <c r="C17" t="s">
        <v>425</v>
      </c>
      <c r="D17">
        <v>6.7000000000000002E-3</v>
      </c>
      <c r="E17">
        <v>1.5E-3</v>
      </c>
      <c r="F17">
        <v>0.1</v>
      </c>
      <c r="G17">
        <v>12</v>
      </c>
      <c r="I17">
        <v>13.9</v>
      </c>
      <c r="J17">
        <v>28.4</v>
      </c>
      <c r="K17">
        <v>22.5</v>
      </c>
      <c r="L17">
        <v>15.3</v>
      </c>
      <c r="M17">
        <v>0.76800000000000002</v>
      </c>
      <c r="N17">
        <v>1.232</v>
      </c>
      <c r="O17">
        <v>7.5</v>
      </c>
      <c r="P17">
        <v>17.5</v>
      </c>
      <c r="Q17">
        <v>1.55E-2</v>
      </c>
    </row>
    <row r="18" spans="1:17">
      <c r="A18">
        <v>30</v>
      </c>
      <c r="B18">
        <v>1.5</v>
      </c>
      <c r="C18" t="s">
        <v>425</v>
      </c>
      <c r="D18">
        <v>6.7000000000000002E-3</v>
      </c>
      <c r="E18">
        <v>1.5E-3</v>
      </c>
      <c r="F18">
        <v>0.1</v>
      </c>
      <c r="G18">
        <v>12</v>
      </c>
      <c r="I18">
        <v>13.9</v>
      </c>
      <c r="J18">
        <v>28.4</v>
      </c>
      <c r="K18">
        <v>22.5</v>
      </c>
      <c r="L18">
        <v>15.3</v>
      </c>
      <c r="M18">
        <v>0.755</v>
      </c>
      <c r="N18">
        <v>1.282</v>
      </c>
      <c r="O18">
        <v>7.5</v>
      </c>
      <c r="P18">
        <v>18</v>
      </c>
      <c r="Q18">
        <v>1.6E-2</v>
      </c>
    </row>
    <row r="19" spans="1:17">
      <c r="A19">
        <v>45</v>
      </c>
      <c r="B19">
        <v>0.5</v>
      </c>
      <c r="C19" t="s">
        <v>425</v>
      </c>
      <c r="D19">
        <v>6.7000000000000002E-3</v>
      </c>
      <c r="E19">
        <v>1.5E-3</v>
      </c>
      <c r="F19">
        <v>0.1</v>
      </c>
      <c r="G19">
        <v>12</v>
      </c>
      <c r="I19">
        <v>13.9</v>
      </c>
      <c r="J19">
        <v>28.4</v>
      </c>
      <c r="K19">
        <v>22.5</v>
      </c>
      <c r="L19">
        <v>15.3</v>
      </c>
      <c r="M19">
        <v>0.755</v>
      </c>
      <c r="N19">
        <v>1.008</v>
      </c>
      <c r="O19">
        <v>3</v>
      </c>
      <c r="P19">
        <v>7</v>
      </c>
      <c r="Q19">
        <v>1.4999999999999999E-2</v>
      </c>
    </row>
    <row r="20" spans="1:17">
      <c r="A20">
        <v>45</v>
      </c>
      <c r="B20">
        <v>0.75</v>
      </c>
      <c r="C20" t="s">
        <v>425</v>
      </c>
      <c r="D20">
        <v>6.7000000000000002E-3</v>
      </c>
      <c r="E20">
        <v>1.5E-3</v>
      </c>
      <c r="F20">
        <v>0.1</v>
      </c>
      <c r="G20">
        <v>12</v>
      </c>
      <c r="I20">
        <v>13.9</v>
      </c>
      <c r="J20">
        <v>28.4</v>
      </c>
      <c r="K20">
        <v>22.5</v>
      </c>
      <c r="L20">
        <v>15.3</v>
      </c>
      <c r="M20">
        <v>0.69399999999999995</v>
      </c>
      <c r="N20">
        <v>1.079</v>
      </c>
      <c r="O20">
        <v>3.5</v>
      </c>
      <c r="P20">
        <v>8.5</v>
      </c>
      <c r="Q20">
        <v>1.4999999999999999E-2</v>
      </c>
    </row>
    <row r="21" spans="1:17">
      <c r="A21">
        <v>45</v>
      </c>
      <c r="B21">
        <v>1</v>
      </c>
      <c r="C21" t="s">
        <v>425</v>
      </c>
      <c r="D21">
        <v>6.7000000000000002E-3</v>
      </c>
      <c r="E21">
        <v>1.5E-3</v>
      </c>
      <c r="F21">
        <v>0.1</v>
      </c>
      <c r="G21">
        <v>12</v>
      </c>
      <c r="I21">
        <v>13.9</v>
      </c>
      <c r="J21">
        <v>28.4</v>
      </c>
      <c r="K21">
        <v>22.5</v>
      </c>
      <c r="L21">
        <v>15.3</v>
      </c>
      <c r="M21">
        <v>0.65800000000000003</v>
      </c>
      <c r="N21">
        <v>1.1819999999999999</v>
      </c>
      <c r="O21">
        <v>5</v>
      </c>
      <c r="P21">
        <v>12.5</v>
      </c>
      <c r="Q21">
        <v>1.4999999999999999E-2</v>
      </c>
    </row>
    <row r="22" spans="1:17">
      <c r="A22">
        <v>45</v>
      </c>
      <c r="B22">
        <v>1.25</v>
      </c>
      <c r="C22" t="s">
        <v>425</v>
      </c>
      <c r="D22">
        <v>6.7000000000000002E-3</v>
      </c>
      <c r="E22">
        <v>1.5E-3</v>
      </c>
      <c r="F22">
        <v>0.1</v>
      </c>
      <c r="G22">
        <v>12</v>
      </c>
      <c r="I22">
        <v>13.9</v>
      </c>
      <c r="J22">
        <v>28.4</v>
      </c>
      <c r="K22">
        <v>22.5</v>
      </c>
      <c r="L22">
        <v>15.3</v>
      </c>
      <c r="M22">
        <v>0.63900000000000001</v>
      </c>
      <c r="N22">
        <v>1.2669999999999999</v>
      </c>
      <c r="O22">
        <v>7</v>
      </c>
      <c r="P22">
        <v>15</v>
      </c>
      <c r="Q22">
        <v>1.4999999999999999E-2</v>
      </c>
    </row>
    <row r="23" spans="1:17">
      <c r="A23">
        <v>45</v>
      </c>
      <c r="B23">
        <v>1.5</v>
      </c>
      <c r="C23" t="s">
        <v>425</v>
      </c>
      <c r="D23">
        <v>6.7000000000000002E-3</v>
      </c>
      <c r="E23">
        <v>1.5E-3</v>
      </c>
      <c r="F23">
        <v>0.1</v>
      </c>
      <c r="G23">
        <v>12</v>
      </c>
      <c r="I23">
        <v>13.9</v>
      </c>
      <c r="J23">
        <v>28.4</v>
      </c>
      <c r="K23">
        <v>22.5</v>
      </c>
      <c r="L23">
        <v>15.3</v>
      </c>
      <c r="M23">
        <v>0.61399999999999999</v>
      </c>
      <c r="N23">
        <v>1.3440000000000001</v>
      </c>
      <c r="O23">
        <v>7.5</v>
      </c>
      <c r="P23">
        <v>16.5</v>
      </c>
      <c r="Q23">
        <v>1.4999999999999999E-2</v>
      </c>
    </row>
    <row r="24" spans="1:17">
      <c r="A24">
        <v>45</v>
      </c>
      <c r="B24">
        <v>1.5</v>
      </c>
      <c r="C24" t="s">
        <v>425</v>
      </c>
      <c r="D24">
        <v>6.7000000000000002E-3</v>
      </c>
      <c r="E24">
        <v>1.5E-3</v>
      </c>
      <c r="F24">
        <v>0.1</v>
      </c>
      <c r="G24">
        <v>12</v>
      </c>
      <c r="I24">
        <v>13.9</v>
      </c>
      <c r="J24">
        <v>28.4</v>
      </c>
      <c r="K24">
        <v>22.5</v>
      </c>
      <c r="L24">
        <v>15.3</v>
      </c>
      <c r="M24">
        <v>0.62</v>
      </c>
      <c r="N24">
        <v>1.341</v>
      </c>
      <c r="O24">
        <v>8</v>
      </c>
      <c r="P24">
        <v>17</v>
      </c>
      <c r="Q24">
        <v>1.4E-2</v>
      </c>
    </row>
    <row r="25" spans="1:17">
      <c r="A25">
        <v>60</v>
      </c>
      <c r="B25">
        <v>0.75</v>
      </c>
      <c r="C25" t="s">
        <v>425</v>
      </c>
      <c r="D25">
        <v>6.7000000000000002E-3</v>
      </c>
      <c r="E25">
        <v>1.5E-3</v>
      </c>
      <c r="F25">
        <v>0.1</v>
      </c>
      <c r="G25">
        <v>12</v>
      </c>
      <c r="I25">
        <v>13.9</v>
      </c>
      <c r="J25">
        <v>28.4</v>
      </c>
      <c r="K25">
        <v>22.5</v>
      </c>
      <c r="L25">
        <v>15.3</v>
      </c>
      <c r="M25">
        <v>0.55000000000000004</v>
      </c>
      <c r="N25">
        <v>1.022</v>
      </c>
      <c r="O25">
        <v>4</v>
      </c>
      <c r="P25">
        <v>8.5</v>
      </c>
      <c r="Q25">
        <v>1.4500000000000001E-2</v>
      </c>
    </row>
    <row r="26" spans="1:17">
      <c r="A26">
        <v>60</v>
      </c>
      <c r="B26">
        <v>1</v>
      </c>
      <c r="C26" t="s">
        <v>425</v>
      </c>
      <c r="D26">
        <v>6.7000000000000002E-3</v>
      </c>
      <c r="E26">
        <v>1.5E-3</v>
      </c>
      <c r="F26">
        <v>0.1</v>
      </c>
      <c r="G26">
        <v>12</v>
      </c>
      <c r="I26">
        <v>13.9</v>
      </c>
      <c r="J26">
        <v>28.4</v>
      </c>
      <c r="K26">
        <v>22.5</v>
      </c>
      <c r="L26">
        <v>15.3</v>
      </c>
      <c r="M26">
        <v>0.502</v>
      </c>
      <c r="N26">
        <v>1.165</v>
      </c>
      <c r="O26">
        <v>5.5</v>
      </c>
      <c r="P26">
        <v>11</v>
      </c>
      <c r="Q26">
        <v>1.4999999999999999E-2</v>
      </c>
    </row>
    <row r="27" spans="1:17">
      <c r="A27">
        <v>60</v>
      </c>
      <c r="B27">
        <v>1</v>
      </c>
      <c r="C27" t="s">
        <v>425</v>
      </c>
      <c r="D27">
        <v>6.7000000000000002E-3</v>
      </c>
      <c r="E27">
        <v>1.5E-3</v>
      </c>
      <c r="F27">
        <v>0.1</v>
      </c>
      <c r="G27">
        <v>12</v>
      </c>
      <c r="I27">
        <v>13.9</v>
      </c>
      <c r="J27">
        <v>28.4</v>
      </c>
      <c r="K27">
        <v>22.5</v>
      </c>
      <c r="L27">
        <v>15.3</v>
      </c>
      <c r="M27">
        <v>0.502</v>
      </c>
      <c r="N27">
        <v>1.165</v>
      </c>
      <c r="O27">
        <v>5.5</v>
      </c>
      <c r="P27">
        <v>10.5</v>
      </c>
      <c r="Q27">
        <v>1.4500000000000001E-2</v>
      </c>
    </row>
    <row r="28" spans="1:17">
      <c r="A28">
        <v>60</v>
      </c>
      <c r="B28">
        <v>1.25</v>
      </c>
      <c r="C28" t="s">
        <v>425</v>
      </c>
      <c r="D28">
        <v>6.7000000000000002E-3</v>
      </c>
      <c r="E28">
        <v>1.5E-3</v>
      </c>
      <c r="F28">
        <v>0.1</v>
      </c>
      <c r="G28">
        <v>12</v>
      </c>
      <c r="I28">
        <v>13.9</v>
      </c>
      <c r="J28">
        <v>28.4</v>
      </c>
      <c r="K28">
        <v>22.5</v>
      </c>
      <c r="L28">
        <v>15.3</v>
      </c>
      <c r="M28">
        <v>0.49399999999999999</v>
      </c>
      <c r="N28">
        <v>1.3069999999999999</v>
      </c>
      <c r="O28">
        <v>9</v>
      </c>
      <c r="P28">
        <v>14</v>
      </c>
      <c r="Q28">
        <v>1.2E-2</v>
      </c>
    </row>
    <row r="29" spans="1:17">
      <c r="A29">
        <v>60</v>
      </c>
      <c r="B29">
        <v>1.5</v>
      </c>
      <c r="C29" t="s">
        <v>425</v>
      </c>
      <c r="D29">
        <v>6.7000000000000002E-3</v>
      </c>
      <c r="E29">
        <v>1.5E-3</v>
      </c>
      <c r="F29">
        <v>0.1</v>
      </c>
      <c r="G29">
        <v>12</v>
      </c>
      <c r="I29">
        <v>13.9</v>
      </c>
      <c r="J29">
        <v>28.4</v>
      </c>
      <c r="K29">
        <v>22.5</v>
      </c>
      <c r="L29">
        <v>15.3</v>
      </c>
      <c r="M29">
        <v>0.47799999999999998</v>
      </c>
      <c r="N29">
        <v>1.4279999999999999</v>
      </c>
      <c r="O29">
        <v>11</v>
      </c>
      <c r="P29">
        <v>17</v>
      </c>
      <c r="Q29">
        <v>1.4E-2</v>
      </c>
    </row>
    <row r="30" spans="1:17">
      <c r="A30">
        <v>60</v>
      </c>
      <c r="B30">
        <v>1.5</v>
      </c>
      <c r="C30" t="s">
        <v>425</v>
      </c>
      <c r="D30">
        <v>6.7000000000000002E-3</v>
      </c>
      <c r="E30">
        <v>1.5E-3</v>
      </c>
      <c r="F30">
        <v>0.1</v>
      </c>
      <c r="G30">
        <v>12</v>
      </c>
      <c r="I30">
        <v>13.9</v>
      </c>
      <c r="J30">
        <v>28.4</v>
      </c>
      <c r="K30">
        <v>22.5</v>
      </c>
      <c r="L30">
        <v>15.3</v>
      </c>
      <c r="M30">
        <v>0.48199999999999998</v>
      </c>
      <c r="N30">
        <v>1.423</v>
      </c>
      <c r="O30">
        <v>11.5</v>
      </c>
      <c r="P30">
        <v>17</v>
      </c>
      <c r="Q30">
        <v>1.4E-2</v>
      </c>
    </row>
    <row r="31" spans="1:17">
      <c r="A31">
        <v>70</v>
      </c>
      <c r="B31">
        <v>1</v>
      </c>
      <c r="C31" t="s">
        <v>425</v>
      </c>
      <c r="D31">
        <v>6.7000000000000002E-3</v>
      </c>
      <c r="E31">
        <v>1.5E-3</v>
      </c>
      <c r="F31">
        <v>0.1</v>
      </c>
      <c r="G31">
        <v>12</v>
      </c>
      <c r="I31">
        <v>13.9</v>
      </c>
      <c r="J31">
        <v>28.4</v>
      </c>
      <c r="K31">
        <v>22.5</v>
      </c>
      <c r="L31">
        <v>15.3</v>
      </c>
      <c r="M31">
        <v>0.36299999999999999</v>
      </c>
      <c r="N31">
        <v>1.1399999999999999</v>
      </c>
      <c r="O31">
        <v>4.5</v>
      </c>
      <c r="P31">
        <v>7.5</v>
      </c>
      <c r="Q31">
        <v>1.4999999999999999E-2</v>
      </c>
    </row>
    <row r="32" spans="1:17">
      <c r="A32">
        <v>70</v>
      </c>
      <c r="B32">
        <v>1.25</v>
      </c>
      <c r="C32" t="s">
        <v>425</v>
      </c>
      <c r="D32">
        <v>6.7000000000000002E-3</v>
      </c>
      <c r="E32">
        <v>1.5E-3</v>
      </c>
      <c r="F32">
        <v>0.1</v>
      </c>
      <c r="G32">
        <v>12</v>
      </c>
      <c r="I32">
        <v>13.9</v>
      </c>
      <c r="J32">
        <v>28.4</v>
      </c>
      <c r="K32">
        <v>22.5</v>
      </c>
      <c r="L32">
        <v>15.3</v>
      </c>
      <c r="M32">
        <v>0.36399999999999999</v>
      </c>
      <c r="N32">
        <v>1.3680000000000001</v>
      </c>
      <c r="O32">
        <v>9</v>
      </c>
      <c r="P32">
        <v>12.5</v>
      </c>
      <c r="Q32">
        <v>1.2999999999999999E-2</v>
      </c>
    </row>
    <row r="33" spans="1:17">
      <c r="A33">
        <v>70</v>
      </c>
      <c r="B33">
        <v>1.5</v>
      </c>
      <c r="C33" t="s">
        <v>425</v>
      </c>
      <c r="D33">
        <v>6.7000000000000002E-3</v>
      </c>
      <c r="E33">
        <v>1.5E-3</v>
      </c>
      <c r="F33">
        <v>0.1</v>
      </c>
      <c r="G33">
        <v>12</v>
      </c>
      <c r="I33">
        <v>13.9</v>
      </c>
      <c r="J33">
        <v>28.4</v>
      </c>
      <c r="K33">
        <v>22.5</v>
      </c>
      <c r="L33">
        <v>15.3</v>
      </c>
      <c r="M33">
        <v>0.33800000000000002</v>
      </c>
      <c r="N33">
        <v>1.5660000000000001</v>
      </c>
      <c r="O33">
        <v>10.5</v>
      </c>
      <c r="P33">
        <v>13</v>
      </c>
      <c r="Q33">
        <v>1.2E-2</v>
      </c>
    </row>
    <row r="34" spans="1:17">
      <c r="A34">
        <v>45</v>
      </c>
      <c r="B34">
        <v>1.5</v>
      </c>
      <c r="C34" t="s">
        <v>448</v>
      </c>
      <c r="D34">
        <v>6.7000000000000002E-3</v>
      </c>
      <c r="E34">
        <v>0.01</v>
      </c>
      <c r="F34">
        <v>0.1</v>
      </c>
      <c r="G34">
        <v>12</v>
      </c>
      <c r="I34">
        <v>13.7</v>
      </c>
      <c r="J34">
        <v>28.3</v>
      </c>
      <c r="K34">
        <v>22.7</v>
      </c>
      <c r="L34">
        <v>11.5</v>
      </c>
      <c r="M34">
        <v>0.60399999999999998</v>
      </c>
      <c r="N34">
        <v>1.3480000000000001</v>
      </c>
      <c r="O34">
        <v>6.5</v>
      </c>
      <c r="P34">
        <v>15</v>
      </c>
      <c r="Q34">
        <v>1.4E-2</v>
      </c>
    </row>
    <row r="35" spans="1:17">
      <c r="A35">
        <v>60</v>
      </c>
      <c r="B35">
        <v>1</v>
      </c>
      <c r="C35" t="s">
        <v>448</v>
      </c>
      <c r="D35">
        <v>6.7000000000000002E-3</v>
      </c>
      <c r="E35">
        <v>0.01</v>
      </c>
      <c r="F35">
        <v>0.1</v>
      </c>
      <c r="G35">
        <v>12</v>
      </c>
      <c r="I35">
        <v>13.7</v>
      </c>
      <c r="J35">
        <v>28.3</v>
      </c>
      <c r="K35">
        <v>22.7</v>
      </c>
      <c r="L35">
        <v>11.5</v>
      </c>
      <c r="M35">
        <v>0.49199999999999999</v>
      </c>
      <c r="N35">
        <v>1.171</v>
      </c>
      <c r="O35">
        <v>5</v>
      </c>
      <c r="P35">
        <v>9.5</v>
      </c>
      <c r="Q35">
        <v>1.4500000000000001E-2</v>
      </c>
    </row>
    <row r="36" spans="1:17">
      <c r="A36">
        <v>45</v>
      </c>
      <c r="B36">
        <v>1.5</v>
      </c>
      <c r="C36" t="s">
        <v>449</v>
      </c>
      <c r="D36">
        <v>6.7000000000000002E-3</v>
      </c>
      <c r="E36">
        <v>0.02</v>
      </c>
      <c r="F36">
        <v>0.1</v>
      </c>
      <c r="G36">
        <v>12</v>
      </c>
      <c r="I36">
        <v>13.4</v>
      </c>
      <c r="J36">
        <v>27.5</v>
      </c>
      <c r="K36">
        <v>22.7</v>
      </c>
      <c r="L36">
        <v>7.8</v>
      </c>
      <c r="M36">
        <v>0.62</v>
      </c>
      <c r="N36">
        <v>1.333</v>
      </c>
      <c r="O36">
        <v>8</v>
      </c>
      <c r="P36">
        <v>16</v>
      </c>
      <c r="Q36">
        <v>1.55E-2</v>
      </c>
    </row>
    <row r="37" spans="1:17">
      <c r="A37">
        <v>60</v>
      </c>
      <c r="B37">
        <v>1</v>
      </c>
      <c r="C37" t="s">
        <v>449</v>
      </c>
      <c r="D37">
        <v>6.7000000000000002E-3</v>
      </c>
      <c r="E37">
        <v>0.02</v>
      </c>
      <c r="F37">
        <v>0.1</v>
      </c>
      <c r="G37">
        <v>12</v>
      </c>
      <c r="I37">
        <v>13.4</v>
      </c>
      <c r="J37">
        <v>27.5</v>
      </c>
      <c r="K37">
        <v>22.7</v>
      </c>
      <c r="L37">
        <v>7.8</v>
      </c>
      <c r="M37">
        <v>0.48799999999999999</v>
      </c>
      <c r="N37">
        <v>1.177</v>
      </c>
      <c r="O37">
        <v>5</v>
      </c>
      <c r="P37">
        <v>9.5</v>
      </c>
      <c r="Q37">
        <v>1.55E-2</v>
      </c>
    </row>
    <row r="38" spans="1:17">
      <c r="A38">
        <v>30</v>
      </c>
      <c r="B38">
        <v>1</v>
      </c>
      <c r="C38" t="s">
        <v>426</v>
      </c>
      <c r="D38">
        <v>6.7000000000000002E-3</v>
      </c>
      <c r="E38">
        <v>1.5E-3</v>
      </c>
      <c r="F38">
        <v>0.1</v>
      </c>
      <c r="G38">
        <v>15</v>
      </c>
      <c r="I38">
        <v>17.100000000000001</v>
      </c>
      <c r="J38">
        <v>35.299999999999997</v>
      </c>
      <c r="K38">
        <v>22.7</v>
      </c>
      <c r="L38">
        <v>13.4</v>
      </c>
      <c r="M38">
        <v>0.79</v>
      </c>
      <c r="N38">
        <v>1.218</v>
      </c>
      <c r="O38">
        <v>7.5</v>
      </c>
      <c r="P38">
        <v>19.5</v>
      </c>
      <c r="Q38">
        <v>1.4E-2</v>
      </c>
    </row>
    <row r="39" spans="1:17">
      <c r="A39">
        <v>30</v>
      </c>
      <c r="B39">
        <v>1.5</v>
      </c>
      <c r="C39" t="s">
        <v>426</v>
      </c>
      <c r="D39">
        <v>6.7000000000000002E-3</v>
      </c>
      <c r="E39">
        <v>1.5E-3</v>
      </c>
      <c r="F39">
        <v>0.1</v>
      </c>
      <c r="G39">
        <v>15</v>
      </c>
      <c r="I39">
        <v>17.100000000000001</v>
      </c>
      <c r="J39">
        <v>35.299999999999997</v>
      </c>
      <c r="K39">
        <v>22.7</v>
      </c>
      <c r="L39">
        <v>13.4</v>
      </c>
      <c r="M39">
        <v>0.77</v>
      </c>
      <c r="N39">
        <v>1.296</v>
      </c>
      <c r="O39">
        <v>11.5</v>
      </c>
      <c r="P39">
        <v>24.5</v>
      </c>
      <c r="Q39">
        <v>1.7000000000000001E-2</v>
      </c>
    </row>
    <row r="40" spans="1:17">
      <c r="A40">
        <v>45</v>
      </c>
      <c r="B40">
        <v>1</v>
      </c>
      <c r="C40" t="s">
        <v>426</v>
      </c>
      <c r="D40">
        <v>6.7000000000000002E-3</v>
      </c>
      <c r="E40">
        <v>1.5E-3</v>
      </c>
      <c r="F40">
        <v>0.1</v>
      </c>
      <c r="G40">
        <v>15</v>
      </c>
      <c r="I40">
        <v>17.100000000000001</v>
      </c>
      <c r="J40">
        <v>35.299999999999997</v>
      </c>
      <c r="K40">
        <v>22.7</v>
      </c>
      <c r="L40">
        <v>13.4</v>
      </c>
      <c r="M40">
        <v>0.68500000000000005</v>
      </c>
      <c r="N40">
        <v>1.2330000000000001</v>
      </c>
      <c r="O40">
        <v>9.5</v>
      </c>
      <c r="P40">
        <v>19.5</v>
      </c>
      <c r="Q40">
        <v>1.4E-2</v>
      </c>
    </row>
    <row r="41" spans="1:17">
      <c r="A41">
        <v>45</v>
      </c>
      <c r="B41">
        <v>1.5</v>
      </c>
      <c r="C41" t="s">
        <v>426</v>
      </c>
      <c r="D41">
        <v>6.7000000000000002E-3</v>
      </c>
      <c r="E41">
        <v>1.5E-3</v>
      </c>
      <c r="F41">
        <v>0.1</v>
      </c>
      <c r="G41">
        <v>15</v>
      </c>
      <c r="I41">
        <v>17.100000000000001</v>
      </c>
      <c r="J41">
        <v>35.299999999999997</v>
      </c>
      <c r="K41">
        <v>22.7</v>
      </c>
      <c r="L41">
        <v>13.4</v>
      </c>
      <c r="M41">
        <v>0.64</v>
      </c>
      <c r="N41">
        <v>1.4039999999999999</v>
      </c>
      <c r="O41">
        <v>12</v>
      </c>
      <c r="P41">
        <v>24</v>
      </c>
      <c r="Q41">
        <v>1.7000000000000001E-2</v>
      </c>
    </row>
    <row r="42" spans="1:17">
      <c r="A42">
        <v>60</v>
      </c>
      <c r="B42">
        <v>1</v>
      </c>
      <c r="C42" t="s">
        <v>426</v>
      </c>
      <c r="D42">
        <v>6.7000000000000002E-3</v>
      </c>
      <c r="E42">
        <v>1.5E-3</v>
      </c>
      <c r="F42">
        <v>0.1</v>
      </c>
      <c r="G42">
        <v>15</v>
      </c>
      <c r="I42">
        <v>17.100000000000001</v>
      </c>
      <c r="J42">
        <v>35.299999999999997</v>
      </c>
      <c r="K42">
        <v>22.7</v>
      </c>
      <c r="L42">
        <v>13.4</v>
      </c>
      <c r="M42">
        <v>0.52400000000000002</v>
      </c>
      <c r="N42">
        <v>1.22</v>
      </c>
      <c r="O42">
        <v>8.5</v>
      </c>
      <c r="P42">
        <v>15.5</v>
      </c>
      <c r="Q42">
        <v>1.6E-2</v>
      </c>
    </row>
    <row r="43" spans="1:17">
      <c r="A43">
        <v>60</v>
      </c>
      <c r="B43">
        <v>1.5</v>
      </c>
      <c r="C43" t="s">
        <v>426</v>
      </c>
      <c r="D43">
        <v>6.7000000000000002E-3</v>
      </c>
      <c r="E43">
        <v>1.5E-3</v>
      </c>
      <c r="F43">
        <v>0.1</v>
      </c>
      <c r="G43">
        <v>15</v>
      </c>
      <c r="I43">
        <v>17.100000000000001</v>
      </c>
      <c r="J43">
        <v>35.299999999999997</v>
      </c>
      <c r="K43">
        <v>22.7</v>
      </c>
      <c r="L43">
        <v>13.4</v>
      </c>
      <c r="M43">
        <v>0.50600000000000001</v>
      </c>
      <c r="N43">
        <v>1.5</v>
      </c>
      <c r="O43">
        <v>15</v>
      </c>
      <c r="P43">
        <v>23</v>
      </c>
      <c r="Q43">
        <v>1.55E-2</v>
      </c>
    </row>
    <row r="44" spans="1:17">
      <c r="A44">
        <v>70</v>
      </c>
      <c r="B44">
        <v>1</v>
      </c>
      <c r="C44" t="s">
        <v>426</v>
      </c>
      <c r="D44">
        <v>6.7000000000000002E-3</v>
      </c>
      <c r="E44">
        <v>1.5E-3</v>
      </c>
      <c r="F44">
        <v>0.1</v>
      </c>
      <c r="G44">
        <v>15</v>
      </c>
      <c r="I44">
        <v>17.100000000000001</v>
      </c>
      <c r="J44">
        <v>35.299999999999997</v>
      </c>
      <c r="K44">
        <v>22.7</v>
      </c>
      <c r="L44">
        <v>13.4</v>
      </c>
      <c r="M44">
        <v>0.40500000000000003</v>
      </c>
      <c r="N44">
        <v>1.196</v>
      </c>
      <c r="O44">
        <v>8.5</v>
      </c>
      <c r="P44">
        <v>12.5</v>
      </c>
      <c r="Q44">
        <v>1.4999999999999999E-2</v>
      </c>
    </row>
    <row r="45" spans="1:17">
      <c r="A45">
        <v>70</v>
      </c>
      <c r="B45">
        <v>1.5</v>
      </c>
      <c r="C45" t="s">
        <v>426</v>
      </c>
      <c r="D45">
        <v>6.7000000000000002E-3</v>
      </c>
      <c r="E45">
        <v>1.5E-3</v>
      </c>
      <c r="F45">
        <v>0.1</v>
      </c>
      <c r="G45">
        <v>15</v>
      </c>
      <c r="I45">
        <v>17.100000000000001</v>
      </c>
      <c r="J45">
        <v>35.299999999999997</v>
      </c>
      <c r="K45">
        <v>22.7</v>
      </c>
      <c r="L45">
        <v>13.4</v>
      </c>
      <c r="M45">
        <v>0.35699999999999998</v>
      </c>
      <c r="N45">
        <v>1.6819999999999999</v>
      </c>
      <c r="O45">
        <v>13.5</v>
      </c>
      <c r="P45">
        <v>16</v>
      </c>
      <c r="Q45">
        <v>1.6E-2</v>
      </c>
    </row>
    <row r="46" spans="1:17">
      <c r="A46">
        <v>30</v>
      </c>
      <c r="B46">
        <v>1</v>
      </c>
      <c r="C46" t="s">
        <v>427</v>
      </c>
      <c r="D46">
        <v>6.7000000000000002E-3</v>
      </c>
      <c r="E46">
        <v>1.5E-3</v>
      </c>
      <c r="F46">
        <v>0.1</v>
      </c>
      <c r="G46">
        <v>18</v>
      </c>
      <c r="I46">
        <v>20.5</v>
      </c>
      <c r="J46">
        <v>42.2</v>
      </c>
      <c r="K46">
        <v>22.6</v>
      </c>
      <c r="L46">
        <v>14.7</v>
      </c>
      <c r="M46">
        <v>0.80300000000000005</v>
      </c>
      <c r="N46">
        <v>1.244</v>
      </c>
      <c r="O46">
        <v>11.5</v>
      </c>
      <c r="P46">
        <v>25</v>
      </c>
      <c r="Q46">
        <v>1.6E-2</v>
      </c>
    </row>
    <row r="47" spans="1:17">
      <c r="A47">
        <v>30</v>
      </c>
      <c r="B47">
        <v>1.25</v>
      </c>
      <c r="C47" t="s">
        <v>427</v>
      </c>
      <c r="D47">
        <v>6.7000000000000002E-3</v>
      </c>
      <c r="E47">
        <v>1.5E-3</v>
      </c>
      <c r="F47">
        <v>0.1</v>
      </c>
      <c r="G47">
        <v>18</v>
      </c>
      <c r="I47">
        <v>20.5</v>
      </c>
      <c r="J47">
        <v>42.2</v>
      </c>
      <c r="K47">
        <v>22.6</v>
      </c>
      <c r="L47">
        <v>14.7</v>
      </c>
      <c r="M47">
        <v>0.78300000000000003</v>
      </c>
      <c r="N47">
        <v>1.2749999999999999</v>
      </c>
      <c r="O47">
        <v>12.5</v>
      </c>
      <c r="P47">
        <v>27</v>
      </c>
      <c r="Q47">
        <v>1.55E-2</v>
      </c>
    </row>
    <row r="48" spans="1:17">
      <c r="A48">
        <v>30</v>
      </c>
      <c r="B48">
        <v>1.5</v>
      </c>
      <c r="C48" t="s">
        <v>427</v>
      </c>
      <c r="D48">
        <v>6.7000000000000002E-3</v>
      </c>
      <c r="E48">
        <v>1.5E-3</v>
      </c>
      <c r="F48">
        <v>0.1</v>
      </c>
      <c r="G48">
        <v>18</v>
      </c>
      <c r="I48">
        <v>20.5</v>
      </c>
      <c r="J48">
        <v>42.2</v>
      </c>
      <c r="K48">
        <v>22.6</v>
      </c>
      <c r="L48">
        <v>14.7</v>
      </c>
      <c r="M48">
        <v>0.75900000000000001</v>
      </c>
      <c r="N48">
        <v>1.3160000000000001</v>
      </c>
      <c r="O48">
        <v>12.5</v>
      </c>
      <c r="P48">
        <v>28.5</v>
      </c>
      <c r="Q48">
        <v>1.7000000000000001E-2</v>
      </c>
    </row>
    <row r="49" spans="1:17">
      <c r="A49">
        <v>45</v>
      </c>
      <c r="B49">
        <v>0.5</v>
      </c>
      <c r="C49" t="s">
        <v>427</v>
      </c>
      <c r="D49">
        <v>6.7000000000000002E-3</v>
      </c>
      <c r="E49">
        <v>1.5E-3</v>
      </c>
      <c r="F49">
        <v>0.1</v>
      </c>
      <c r="G49">
        <v>18</v>
      </c>
      <c r="I49">
        <v>20.5</v>
      </c>
      <c r="J49">
        <v>42.2</v>
      </c>
      <c r="K49">
        <v>22.6</v>
      </c>
      <c r="L49">
        <v>14.7</v>
      </c>
      <c r="M49">
        <v>0.77</v>
      </c>
      <c r="N49">
        <v>1.028</v>
      </c>
      <c r="O49">
        <v>6.5</v>
      </c>
      <c r="P49">
        <v>12.5</v>
      </c>
      <c r="Q49">
        <v>1.4E-2</v>
      </c>
    </row>
    <row r="50" spans="1:17">
      <c r="A50">
        <v>45</v>
      </c>
      <c r="B50">
        <v>0.75</v>
      </c>
      <c r="C50" t="s">
        <v>427</v>
      </c>
      <c r="D50">
        <v>6.7000000000000002E-3</v>
      </c>
      <c r="E50">
        <v>1.5E-3</v>
      </c>
      <c r="F50">
        <v>0.1</v>
      </c>
      <c r="G50">
        <v>18</v>
      </c>
      <c r="I50">
        <v>20.5</v>
      </c>
      <c r="J50">
        <v>42.2</v>
      </c>
      <c r="K50">
        <v>22.6</v>
      </c>
      <c r="L50">
        <v>14.7</v>
      </c>
      <c r="M50">
        <v>0.72899999999999998</v>
      </c>
      <c r="N50">
        <v>1.1539999999999999</v>
      </c>
      <c r="O50">
        <v>10.5</v>
      </c>
      <c r="P50">
        <v>20</v>
      </c>
      <c r="Q50">
        <v>1.9E-2</v>
      </c>
    </row>
    <row r="51" spans="1:17">
      <c r="A51">
        <v>45</v>
      </c>
      <c r="B51">
        <v>1</v>
      </c>
      <c r="C51" t="s">
        <v>427</v>
      </c>
      <c r="D51">
        <v>6.7000000000000002E-3</v>
      </c>
      <c r="E51">
        <v>1.5E-3</v>
      </c>
      <c r="F51">
        <v>0.1</v>
      </c>
      <c r="G51">
        <v>18</v>
      </c>
      <c r="I51">
        <v>20.5</v>
      </c>
      <c r="J51">
        <v>42.2</v>
      </c>
      <c r="K51">
        <v>22.6</v>
      </c>
      <c r="L51">
        <v>14.7</v>
      </c>
      <c r="M51">
        <v>0.66900000000000004</v>
      </c>
      <c r="N51">
        <v>1.2849999999999999</v>
      </c>
      <c r="O51">
        <v>9.5</v>
      </c>
      <c r="P51">
        <v>20</v>
      </c>
      <c r="Q51">
        <v>1.35E-2</v>
      </c>
    </row>
    <row r="52" spans="1:17">
      <c r="A52">
        <v>45</v>
      </c>
      <c r="B52">
        <v>1.25</v>
      </c>
      <c r="C52" t="s">
        <v>427</v>
      </c>
      <c r="D52">
        <v>6.7000000000000002E-3</v>
      </c>
      <c r="E52">
        <v>1.5E-3</v>
      </c>
      <c r="F52">
        <v>0.1</v>
      </c>
      <c r="G52">
        <v>18</v>
      </c>
      <c r="I52">
        <v>20.5</v>
      </c>
      <c r="J52">
        <v>42.2</v>
      </c>
      <c r="K52">
        <v>22.6</v>
      </c>
      <c r="L52">
        <v>14.7</v>
      </c>
      <c r="M52">
        <v>0.67900000000000005</v>
      </c>
      <c r="N52">
        <v>1.375</v>
      </c>
      <c r="O52">
        <v>15</v>
      </c>
      <c r="P52">
        <v>27.5</v>
      </c>
      <c r="Q52">
        <v>1.6E-2</v>
      </c>
    </row>
    <row r="53" spans="1:17">
      <c r="A53">
        <v>45</v>
      </c>
      <c r="B53">
        <v>1.5</v>
      </c>
      <c r="C53" t="s">
        <v>427</v>
      </c>
      <c r="D53">
        <v>6.7000000000000002E-3</v>
      </c>
      <c r="E53">
        <v>1.5E-3</v>
      </c>
      <c r="F53">
        <v>0.1</v>
      </c>
      <c r="G53">
        <v>18</v>
      </c>
      <c r="I53">
        <v>20.5</v>
      </c>
      <c r="J53">
        <v>42.2</v>
      </c>
      <c r="K53">
        <v>22.6</v>
      </c>
      <c r="L53">
        <v>14.7</v>
      </c>
      <c r="M53">
        <v>0.65800000000000003</v>
      </c>
      <c r="N53">
        <v>1.458</v>
      </c>
      <c r="O53">
        <v>16</v>
      </c>
      <c r="P53">
        <v>31</v>
      </c>
      <c r="Q53">
        <v>1.7500000000000002E-2</v>
      </c>
    </row>
    <row r="54" spans="1:17">
      <c r="A54">
        <v>60</v>
      </c>
      <c r="B54">
        <v>0.5</v>
      </c>
      <c r="C54" t="s">
        <v>427</v>
      </c>
      <c r="D54">
        <v>6.7000000000000002E-3</v>
      </c>
      <c r="E54">
        <v>1.5E-3</v>
      </c>
      <c r="F54">
        <v>0.1</v>
      </c>
      <c r="G54">
        <v>18</v>
      </c>
      <c r="I54">
        <v>20.5</v>
      </c>
      <c r="J54">
        <v>42.2</v>
      </c>
      <c r="K54">
        <v>22.6</v>
      </c>
      <c r="L54">
        <v>14.7</v>
      </c>
      <c r="M54">
        <v>0.65500000000000003</v>
      </c>
      <c r="N54">
        <v>1.002</v>
      </c>
      <c r="O54">
        <v>5</v>
      </c>
      <c r="P54">
        <v>9</v>
      </c>
      <c r="Q54">
        <v>2.2499999999999999E-2</v>
      </c>
    </row>
    <row r="55" spans="1:17">
      <c r="A55">
        <v>60</v>
      </c>
      <c r="B55">
        <v>0.75</v>
      </c>
      <c r="C55" t="s">
        <v>427</v>
      </c>
      <c r="D55">
        <v>6.7000000000000002E-3</v>
      </c>
      <c r="E55">
        <v>1.5E-3</v>
      </c>
      <c r="F55">
        <v>0.1</v>
      </c>
      <c r="G55">
        <v>18</v>
      </c>
      <c r="I55">
        <v>20.5</v>
      </c>
      <c r="J55">
        <v>42.2</v>
      </c>
      <c r="K55">
        <v>22.6</v>
      </c>
      <c r="L55">
        <v>14.7</v>
      </c>
      <c r="M55">
        <v>0.56899999999999995</v>
      </c>
      <c r="N55">
        <v>1.0589999999999999</v>
      </c>
      <c r="O55">
        <v>9</v>
      </c>
      <c r="P55">
        <v>16</v>
      </c>
      <c r="Q55">
        <v>1.6E-2</v>
      </c>
    </row>
    <row r="56" spans="1:17">
      <c r="A56">
        <v>60</v>
      </c>
      <c r="B56">
        <v>1</v>
      </c>
      <c r="C56" t="s">
        <v>427</v>
      </c>
      <c r="D56">
        <v>6.7000000000000002E-3</v>
      </c>
      <c r="E56">
        <v>1.5E-3</v>
      </c>
      <c r="F56">
        <v>0.1</v>
      </c>
      <c r="G56">
        <v>18</v>
      </c>
      <c r="I56">
        <v>20.5</v>
      </c>
      <c r="J56">
        <v>42.2</v>
      </c>
      <c r="K56">
        <v>22.6</v>
      </c>
      <c r="L56">
        <v>14.7</v>
      </c>
      <c r="M56">
        <v>0.52500000000000002</v>
      </c>
      <c r="N56">
        <v>1.278</v>
      </c>
      <c r="O56">
        <v>10</v>
      </c>
      <c r="P56">
        <v>17.5</v>
      </c>
      <c r="Q56">
        <v>1.4500000000000001E-2</v>
      </c>
    </row>
    <row r="57" spans="1:17">
      <c r="A57">
        <v>60</v>
      </c>
      <c r="B57">
        <v>1.25</v>
      </c>
      <c r="C57" t="s">
        <v>427</v>
      </c>
      <c r="D57">
        <v>6.7000000000000002E-3</v>
      </c>
      <c r="E57">
        <v>1.5E-3</v>
      </c>
      <c r="F57">
        <v>0.1</v>
      </c>
      <c r="G57">
        <v>18</v>
      </c>
      <c r="I57">
        <v>20.5</v>
      </c>
      <c r="J57">
        <v>42.2</v>
      </c>
      <c r="K57">
        <v>22.6</v>
      </c>
      <c r="L57">
        <v>14.7</v>
      </c>
      <c r="M57">
        <v>0.52500000000000002</v>
      </c>
      <c r="N57">
        <v>1.4590000000000001</v>
      </c>
      <c r="O57">
        <v>15</v>
      </c>
      <c r="P57">
        <v>23.5</v>
      </c>
      <c r="Q57">
        <v>1.4E-2</v>
      </c>
    </row>
    <row r="58" spans="1:17">
      <c r="A58">
        <v>60</v>
      </c>
      <c r="B58">
        <v>1.5</v>
      </c>
      <c r="C58" t="s">
        <v>427</v>
      </c>
      <c r="D58">
        <v>6.7000000000000002E-3</v>
      </c>
      <c r="E58">
        <v>1.5E-3</v>
      </c>
      <c r="F58">
        <v>0.1</v>
      </c>
      <c r="G58">
        <v>18</v>
      </c>
      <c r="I58">
        <v>20.5</v>
      </c>
      <c r="J58">
        <v>42.2</v>
      </c>
      <c r="K58">
        <v>22.6</v>
      </c>
      <c r="L58">
        <v>14.7</v>
      </c>
      <c r="M58">
        <v>0.505</v>
      </c>
      <c r="N58">
        <v>1.603</v>
      </c>
      <c r="O58">
        <v>17</v>
      </c>
      <c r="P58">
        <v>26.5</v>
      </c>
      <c r="Q58">
        <v>1.6500000000000001E-2</v>
      </c>
    </row>
    <row r="59" spans="1:17">
      <c r="A59">
        <v>45</v>
      </c>
      <c r="B59">
        <v>1</v>
      </c>
      <c r="C59" t="s">
        <v>428</v>
      </c>
      <c r="D59">
        <v>6.7000000000000002E-3</v>
      </c>
      <c r="E59">
        <v>1.5E-3</v>
      </c>
      <c r="F59">
        <v>0.1</v>
      </c>
      <c r="G59">
        <v>21</v>
      </c>
      <c r="I59">
        <v>23.8</v>
      </c>
      <c r="J59">
        <v>48.9</v>
      </c>
      <c r="K59">
        <v>22.4</v>
      </c>
      <c r="L59">
        <v>14.4</v>
      </c>
      <c r="M59">
        <v>0.70399999999999996</v>
      </c>
      <c r="N59">
        <v>1.33</v>
      </c>
      <c r="O59">
        <v>15.5</v>
      </c>
      <c r="P59">
        <v>29</v>
      </c>
      <c r="Q59">
        <v>1.6500000000000001E-2</v>
      </c>
    </row>
    <row r="60" spans="1:17">
      <c r="A60">
        <v>45</v>
      </c>
      <c r="B60">
        <v>1.5</v>
      </c>
      <c r="C60" t="s">
        <v>428</v>
      </c>
      <c r="D60">
        <v>6.7000000000000002E-3</v>
      </c>
      <c r="E60">
        <v>1.5E-3</v>
      </c>
      <c r="F60">
        <v>0.1</v>
      </c>
      <c r="G60">
        <v>21</v>
      </c>
      <c r="I60">
        <v>23.8</v>
      </c>
      <c r="J60">
        <v>48.9</v>
      </c>
      <c r="K60">
        <v>22.4</v>
      </c>
      <c r="L60">
        <v>14.4</v>
      </c>
      <c r="M60">
        <v>0.66300000000000003</v>
      </c>
      <c r="N60">
        <v>1.5049999999999999</v>
      </c>
      <c r="O60">
        <v>19</v>
      </c>
      <c r="P60">
        <v>36</v>
      </c>
      <c r="Q60">
        <v>1.7999999999999999E-2</v>
      </c>
    </row>
    <row r="61" spans="1:17">
      <c r="A61">
        <v>60</v>
      </c>
      <c r="B61">
        <v>1</v>
      </c>
      <c r="C61" t="s">
        <v>428</v>
      </c>
      <c r="D61">
        <v>6.7000000000000002E-3</v>
      </c>
      <c r="E61">
        <v>1.5E-3</v>
      </c>
      <c r="F61">
        <v>0.1</v>
      </c>
      <c r="G61">
        <v>21</v>
      </c>
      <c r="I61">
        <v>23.8</v>
      </c>
      <c r="J61">
        <v>48.9</v>
      </c>
      <c r="K61">
        <v>22.4</v>
      </c>
      <c r="L61">
        <v>14.4</v>
      </c>
      <c r="M61">
        <v>0.54200000000000004</v>
      </c>
      <c r="N61">
        <v>1.335</v>
      </c>
      <c r="O61">
        <v>13</v>
      </c>
      <c r="P61">
        <v>20.5</v>
      </c>
      <c r="Q61">
        <v>2.2499999999999999E-2</v>
      </c>
    </row>
    <row r="62" spans="1:17">
      <c r="A62">
        <v>45</v>
      </c>
      <c r="B62">
        <v>1</v>
      </c>
      <c r="C62" t="s">
        <v>429</v>
      </c>
      <c r="D62">
        <v>6.7000000000000002E-3</v>
      </c>
      <c r="E62">
        <v>1.5E-3</v>
      </c>
      <c r="F62">
        <v>0.1</v>
      </c>
      <c r="G62">
        <v>24</v>
      </c>
      <c r="I62">
        <v>27.1</v>
      </c>
      <c r="J62">
        <v>55.5</v>
      </c>
      <c r="K62">
        <v>22.3</v>
      </c>
      <c r="L62">
        <v>14.1</v>
      </c>
      <c r="M62">
        <v>0.70799999999999996</v>
      </c>
      <c r="N62">
        <v>1.377</v>
      </c>
      <c r="O62">
        <v>18</v>
      </c>
      <c r="P62">
        <v>33.5</v>
      </c>
      <c r="Q62">
        <v>1.6500000000000001E-2</v>
      </c>
    </row>
    <row r="63" spans="1:17">
      <c r="A63">
        <v>45</v>
      </c>
      <c r="B63">
        <v>1.5</v>
      </c>
      <c r="C63" t="s">
        <v>429</v>
      </c>
      <c r="D63">
        <v>6.7000000000000002E-3</v>
      </c>
      <c r="E63">
        <v>1.5E-3</v>
      </c>
      <c r="F63">
        <v>0.1</v>
      </c>
      <c r="G63">
        <v>24</v>
      </c>
      <c r="I63">
        <v>27.1</v>
      </c>
      <c r="J63">
        <v>55.5</v>
      </c>
      <c r="K63">
        <v>22.3</v>
      </c>
      <c r="L63">
        <v>14.1</v>
      </c>
      <c r="M63">
        <v>0.66</v>
      </c>
      <c r="N63">
        <v>1.512</v>
      </c>
      <c r="O63">
        <v>21</v>
      </c>
      <c r="P63">
        <v>40</v>
      </c>
      <c r="Q63">
        <v>1.9E-2</v>
      </c>
    </row>
    <row r="64" spans="1:17">
      <c r="A64">
        <v>60</v>
      </c>
      <c r="B64">
        <v>1.5</v>
      </c>
      <c r="C64" t="s">
        <v>429</v>
      </c>
      <c r="D64">
        <v>6.7000000000000002E-3</v>
      </c>
      <c r="E64">
        <v>1.5E-3</v>
      </c>
      <c r="F64">
        <v>0.1</v>
      </c>
      <c r="G64">
        <v>24</v>
      </c>
      <c r="I64">
        <v>27.1</v>
      </c>
      <c r="J64">
        <v>55.5</v>
      </c>
      <c r="K64">
        <v>22.3</v>
      </c>
      <c r="L64">
        <v>14.1</v>
      </c>
      <c r="M64">
        <v>0.52800000000000002</v>
      </c>
      <c r="N64">
        <v>1.758</v>
      </c>
      <c r="O64">
        <v>23</v>
      </c>
      <c r="P64">
        <v>36</v>
      </c>
      <c r="Q64">
        <v>2.5000000000000001E-2</v>
      </c>
    </row>
    <row r="65" spans="1:17">
      <c r="A65">
        <v>0</v>
      </c>
      <c r="B65">
        <v>1E-3</v>
      </c>
      <c r="C65" t="s">
        <v>511</v>
      </c>
      <c r="D65" s="258">
        <v>6.7000000000000002E-3</v>
      </c>
      <c r="E65" s="258">
        <v>1E-4</v>
      </c>
      <c r="F65">
        <v>0.1</v>
      </c>
      <c r="G65">
        <v>4</v>
      </c>
      <c r="I65">
        <v>4.5999999999999996</v>
      </c>
      <c r="J65">
        <v>9.5</v>
      </c>
      <c r="K65">
        <v>22.8</v>
      </c>
      <c r="L65">
        <v>15.6</v>
      </c>
      <c r="M65">
        <v>1</v>
      </c>
      <c r="N65">
        <v>1</v>
      </c>
      <c r="O65">
        <v>-5</v>
      </c>
      <c r="P65">
        <v>0</v>
      </c>
      <c r="Q65">
        <v>8.9999999999999993E-3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7"/>
  <sheetViews>
    <sheetView workbookViewId="0">
      <selection activeCell="Q7" sqref="Q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432</v>
      </c>
      <c r="D2">
        <v>0.01</v>
      </c>
      <c r="E2">
        <v>1.5E-3</v>
      </c>
      <c r="F2">
        <v>0.12</v>
      </c>
      <c r="G2">
        <v>12</v>
      </c>
      <c r="I2">
        <v>13.8</v>
      </c>
      <c r="J2">
        <v>28.4</v>
      </c>
      <c r="K2">
        <v>27.2</v>
      </c>
      <c r="L2">
        <v>18.7</v>
      </c>
      <c r="M2">
        <v>0.60599999999999998</v>
      </c>
      <c r="N2">
        <v>1.36</v>
      </c>
      <c r="O2">
        <v>8.5</v>
      </c>
      <c r="P2">
        <v>16.5</v>
      </c>
      <c r="Q2">
        <v>1.6500000000000001E-2</v>
      </c>
    </row>
    <row r="3" spans="1:17">
      <c r="A3">
        <v>60</v>
      </c>
      <c r="B3">
        <v>1</v>
      </c>
      <c r="C3" t="s">
        <v>432</v>
      </c>
      <c r="D3">
        <v>0.01</v>
      </c>
      <c r="E3">
        <v>1.5E-3</v>
      </c>
      <c r="F3">
        <v>0.12</v>
      </c>
      <c r="G3">
        <v>12</v>
      </c>
      <c r="I3">
        <v>13.8</v>
      </c>
      <c r="J3">
        <v>28.4</v>
      </c>
      <c r="K3">
        <v>27.2</v>
      </c>
      <c r="L3">
        <v>18.7</v>
      </c>
      <c r="M3">
        <v>0.499</v>
      </c>
      <c r="N3">
        <v>1.173</v>
      </c>
      <c r="O3">
        <v>6</v>
      </c>
      <c r="P3">
        <v>11</v>
      </c>
      <c r="Q3">
        <v>1.55E-2</v>
      </c>
    </row>
    <row r="4" spans="1:17">
      <c r="A4">
        <v>60</v>
      </c>
      <c r="B4">
        <v>1.5</v>
      </c>
      <c r="C4" t="s">
        <v>432</v>
      </c>
      <c r="D4">
        <v>0.01</v>
      </c>
      <c r="E4">
        <v>1.5E-3</v>
      </c>
      <c r="F4">
        <v>0.12</v>
      </c>
      <c r="G4">
        <v>12</v>
      </c>
      <c r="I4">
        <v>13.8</v>
      </c>
      <c r="J4">
        <v>28.4</v>
      </c>
      <c r="K4">
        <v>27.2</v>
      </c>
      <c r="L4">
        <v>18.7</v>
      </c>
      <c r="M4">
        <v>0.47299999999999998</v>
      </c>
      <c r="N4">
        <v>1.4379999999999999</v>
      </c>
      <c r="O4">
        <v>12</v>
      </c>
      <c r="P4">
        <v>17.5</v>
      </c>
      <c r="Q4">
        <v>1.4500000000000001E-2</v>
      </c>
    </row>
    <row r="5" spans="1:17">
      <c r="A5">
        <v>0</v>
      </c>
      <c r="B5">
        <v>1E-3</v>
      </c>
      <c r="C5" t="s">
        <v>539</v>
      </c>
      <c r="D5" s="258">
        <v>0.01</v>
      </c>
      <c r="E5" s="258">
        <v>1E-4</v>
      </c>
      <c r="F5">
        <v>0.12</v>
      </c>
      <c r="G5">
        <v>0</v>
      </c>
      <c r="I5">
        <v>0</v>
      </c>
      <c r="J5">
        <v>0</v>
      </c>
      <c r="K5">
        <v>27.2</v>
      </c>
      <c r="L5">
        <v>18.7</v>
      </c>
      <c r="M5">
        <v>1</v>
      </c>
      <c r="N5">
        <v>1</v>
      </c>
      <c r="O5">
        <v>-5.5</v>
      </c>
      <c r="P5">
        <v>0</v>
      </c>
      <c r="Q5">
        <v>8.9999999999999993E-3</v>
      </c>
    </row>
    <row r="6" spans="1:17">
      <c r="A6">
        <v>0</v>
      </c>
      <c r="B6">
        <v>1E-3</v>
      </c>
      <c r="C6" t="s">
        <v>540</v>
      </c>
      <c r="D6" s="258">
        <v>0.01</v>
      </c>
      <c r="E6" s="258">
        <v>1E-4</v>
      </c>
      <c r="F6">
        <v>0.12</v>
      </c>
      <c r="G6">
        <v>2</v>
      </c>
      <c r="I6">
        <v>2.2999999999999998</v>
      </c>
      <c r="J6">
        <v>4.7</v>
      </c>
      <c r="K6">
        <v>27.2</v>
      </c>
      <c r="L6">
        <v>18.7</v>
      </c>
      <c r="M6">
        <v>1</v>
      </c>
      <c r="N6">
        <v>1</v>
      </c>
      <c r="O6">
        <v>-5.5</v>
      </c>
      <c r="P6">
        <v>0</v>
      </c>
      <c r="Q6">
        <v>0.01</v>
      </c>
    </row>
    <row r="7" spans="1:17">
      <c r="A7">
        <v>0</v>
      </c>
      <c r="B7">
        <v>1E-3</v>
      </c>
      <c r="C7" t="s">
        <v>541</v>
      </c>
      <c r="D7" s="258">
        <v>0.01</v>
      </c>
      <c r="E7" s="258">
        <v>1E-4</v>
      </c>
      <c r="F7">
        <v>0.12</v>
      </c>
      <c r="G7">
        <v>4</v>
      </c>
      <c r="I7">
        <v>4.5999999999999996</v>
      </c>
      <c r="J7">
        <v>9.5</v>
      </c>
      <c r="K7">
        <v>27.2</v>
      </c>
      <c r="L7">
        <v>18.7</v>
      </c>
      <c r="M7">
        <v>1</v>
      </c>
      <c r="N7">
        <v>1</v>
      </c>
      <c r="O7">
        <v>-6</v>
      </c>
      <c r="P7">
        <v>0</v>
      </c>
      <c r="Q7">
        <v>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433</v>
      </c>
      <c r="D2">
        <v>1.5100000000000001E-2</v>
      </c>
      <c r="E2">
        <v>1.5E-3</v>
      </c>
      <c r="F2">
        <v>0.15</v>
      </c>
      <c r="G2">
        <v>12</v>
      </c>
      <c r="I2">
        <v>13.6</v>
      </c>
      <c r="J2">
        <v>28.2</v>
      </c>
      <c r="K2">
        <v>33.799999999999997</v>
      </c>
      <c r="L2">
        <v>22.7</v>
      </c>
      <c r="M2">
        <v>0.56899999999999995</v>
      </c>
      <c r="N2">
        <v>1.4019999999999999</v>
      </c>
      <c r="O2">
        <v>8</v>
      </c>
      <c r="P2">
        <v>14.5</v>
      </c>
      <c r="Q2">
        <v>1.7999999999999999E-2</v>
      </c>
    </row>
    <row r="3" spans="1:17">
      <c r="A3">
        <v>60</v>
      </c>
      <c r="B3">
        <v>1.5</v>
      </c>
      <c r="C3" t="s">
        <v>433</v>
      </c>
      <c r="D3">
        <v>1.5100000000000001E-2</v>
      </c>
      <c r="E3">
        <v>1.5E-3</v>
      </c>
      <c r="F3">
        <v>0.15</v>
      </c>
      <c r="G3">
        <v>12</v>
      </c>
      <c r="I3">
        <v>13.6</v>
      </c>
      <c r="J3">
        <v>28.2</v>
      </c>
      <c r="K3">
        <v>33.799999999999997</v>
      </c>
      <c r="L3">
        <v>22.7</v>
      </c>
      <c r="M3">
        <v>0.42299999999999999</v>
      </c>
      <c r="N3">
        <v>1.49</v>
      </c>
      <c r="O3">
        <v>10</v>
      </c>
      <c r="P3">
        <v>12.5</v>
      </c>
      <c r="Q3">
        <v>1.7000000000000001E-2</v>
      </c>
    </row>
    <row r="4" spans="1:17">
      <c r="A4">
        <v>0</v>
      </c>
      <c r="B4">
        <v>1E-3</v>
      </c>
      <c r="C4" t="s">
        <v>542</v>
      </c>
      <c r="D4" s="258">
        <v>1.5100000000000001E-2</v>
      </c>
      <c r="E4" s="258">
        <v>1E-4</v>
      </c>
      <c r="F4">
        <v>0.15</v>
      </c>
      <c r="G4">
        <v>0</v>
      </c>
      <c r="I4">
        <v>0</v>
      </c>
      <c r="J4">
        <v>0</v>
      </c>
      <c r="K4">
        <v>33.799999999999997</v>
      </c>
      <c r="L4">
        <v>22.7</v>
      </c>
      <c r="M4">
        <v>1</v>
      </c>
      <c r="N4">
        <v>1</v>
      </c>
      <c r="O4">
        <v>-6.5</v>
      </c>
      <c r="P4">
        <v>0</v>
      </c>
      <c r="Q4">
        <v>0.01</v>
      </c>
    </row>
    <row r="5" spans="1:17">
      <c r="A5">
        <v>0</v>
      </c>
      <c r="B5">
        <v>1E-3</v>
      </c>
      <c r="C5" t="s">
        <v>543</v>
      </c>
      <c r="D5" s="258">
        <v>1.5100000000000001E-2</v>
      </c>
      <c r="E5" s="258">
        <v>1E-4</v>
      </c>
      <c r="F5">
        <v>0.15</v>
      </c>
      <c r="G5">
        <v>2</v>
      </c>
      <c r="I5">
        <v>2.2999999999999998</v>
      </c>
      <c r="J5">
        <v>4.7</v>
      </c>
      <c r="K5">
        <v>33.799999999999997</v>
      </c>
      <c r="L5">
        <v>22.7</v>
      </c>
      <c r="M5">
        <v>1</v>
      </c>
      <c r="N5">
        <v>1</v>
      </c>
      <c r="O5">
        <v>-6.5</v>
      </c>
      <c r="P5">
        <v>0</v>
      </c>
      <c r="Q5">
        <v>0.01</v>
      </c>
    </row>
    <row r="6" spans="1:17">
      <c r="A6">
        <v>0</v>
      </c>
      <c r="B6">
        <v>1E-3</v>
      </c>
      <c r="C6" t="s">
        <v>544</v>
      </c>
      <c r="D6" s="258">
        <v>1.5100000000000001E-2</v>
      </c>
      <c r="E6" s="258">
        <v>1E-4</v>
      </c>
      <c r="F6">
        <v>0.15</v>
      </c>
      <c r="G6">
        <v>4</v>
      </c>
      <c r="I6">
        <v>4.5999999999999996</v>
      </c>
      <c r="J6">
        <v>9.5</v>
      </c>
      <c r="K6">
        <v>33.799999999999997</v>
      </c>
      <c r="L6">
        <v>22.7</v>
      </c>
      <c r="M6">
        <v>1</v>
      </c>
      <c r="N6">
        <v>1</v>
      </c>
      <c r="O6">
        <v>-6.5</v>
      </c>
      <c r="P6">
        <v>0</v>
      </c>
      <c r="Q6">
        <v>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11"/>
  <sheetViews>
    <sheetView workbookViewId="0">
      <selection activeCell="Q11" sqref="Q1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70</v>
      </c>
      <c r="B3">
        <v>0.75</v>
      </c>
      <c r="C3" t="s">
        <v>445</v>
      </c>
      <c r="D3">
        <v>2.3999999999999998E-3</v>
      </c>
      <c r="E3">
        <v>0.01</v>
      </c>
      <c r="F3">
        <v>0.06</v>
      </c>
      <c r="G3">
        <v>4</v>
      </c>
      <c r="I3">
        <v>4.5999999999999996</v>
      </c>
      <c r="J3">
        <v>9.5</v>
      </c>
      <c r="K3">
        <v>13.4</v>
      </c>
      <c r="L3">
        <v>5.3</v>
      </c>
      <c r="M3">
        <v>0.36899999999999999</v>
      </c>
      <c r="N3">
        <v>1.0009999999999999</v>
      </c>
      <c r="O3">
        <v>-1.5</v>
      </c>
      <c r="P3">
        <v>0.5</v>
      </c>
      <c r="Q3">
        <v>8.9999999999999993E-3</v>
      </c>
    </row>
    <row r="4" spans="1:17">
      <c r="A4">
        <v>60</v>
      </c>
      <c r="B4">
        <v>0.75</v>
      </c>
      <c r="C4" t="s">
        <v>446</v>
      </c>
      <c r="D4">
        <v>2.3999999999999998E-3</v>
      </c>
      <c r="E4">
        <v>0.01</v>
      </c>
      <c r="F4">
        <v>0.06</v>
      </c>
      <c r="G4">
        <v>8</v>
      </c>
      <c r="I4">
        <v>9.1999999999999993</v>
      </c>
      <c r="J4">
        <v>19</v>
      </c>
      <c r="K4">
        <v>13.4</v>
      </c>
      <c r="L4">
        <v>5.2</v>
      </c>
      <c r="M4">
        <v>0.51500000000000001</v>
      </c>
      <c r="N4">
        <v>1.004</v>
      </c>
      <c r="O4">
        <v>1</v>
      </c>
      <c r="P4">
        <v>4.5</v>
      </c>
      <c r="Q4">
        <v>0.01</v>
      </c>
    </row>
    <row r="5" spans="1:17">
      <c r="A5">
        <v>70</v>
      </c>
      <c r="B5">
        <v>0.75</v>
      </c>
      <c r="C5" t="s">
        <v>446</v>
      </c>
      <c r="D5">
        <v>2.3999999999999998E-3</v>
      </c>
      <c r="E5">
        <v>0.01</v>
      </c>
      <c r="F5">
        <v>0.06</v>
      </c>
      <c r="G5">
        <v>8</v>
      </c>
      <c r="I5">
        <v>9.1999999999999993</v>
      </c>
      <c r="J5">
        <v>19</v>
      </c>
      <c r="K5">
        <v>13.4</v>
      </c>
      <c r="L5">
        <v>5.2</v>
      </c>
      <c r="M5">
        <v>0.39</v>
      </c>
      <c r="N5">
        <v>1</v>
      </c>
      <c r="O5">
        <v>0.5</v>
      </c>
      <c r="P5">
        <v>4</v>
      </c>
      <c r="Q5">
        <v>1.0999999999999999E-2</v>
      </c>
    </row>
    <row r="6" spans="1:17">
      <c r="A6">
        <v>60</v>
      </c>
      <c r="B6">
        <v>0.75</v>
      </c>
      <c r="C6" t="s">
        <v>447</v>
      </c>
      <c r="D6">
        <v>2.3999999999999998E-3</v>
      </c>
      <c r="E6">
        <v>0.01</v>
      </c>
      <c r="F6">
        <v>0.06</v>
      </c>
      <c r="G6">
        <v>12</v>
      </c>
      <c r="I6">
        <v>13.8</v>
      </c>
      <c r="J6">
        <v>28.4</v>
      </c>
      <c r="K6">
        <v>13.4</v>
      </c>
      <c r="L6">
        <v>5.2</v>
      </c>
      <c r="M6">
        <v>0.56399999999999995</v>
      </c>
      <c r="N6">
        <v>1.018</v>
      </c>
      <c r="O6">
        <v>5.5</v>
      </c>
      <c r="P6">
        <v>10</v>
      </c>
      <c r="Q6">
        <v>1.2E-2</v>
      </c>
    </row>
    <row r="7" spans="1:17">
      <c r="A7">
        <v>70</v>
      </c>
      <c r="B7">
        <v>0.75</v>
      </c>
      <c r="C7" t="s">
        <v>447</v>
      </c>
      <c r="D7">
        <v>2.3999999999999998E-3</v>
      </c>
      <c r="E7">
        <v>0.01</v>
      </c>
      <c r="F7">
        <v>0.06</v>
      </c>
      <c r="G7">
        <v>12</v>
      </c>
      <c r="I7">
        <v>13.8</v>
      </c>
      <c r="J7">
        <v>28.4</v>
      </c>
      <c r="K7">
        <v>13.4</v>
      </c>
      <c r="L7">
        <v>5.2</v>
      </c>
      <c r="M7">
        <v>0.42299999999999999</v>
      </c>
      <c r="N7">
        <v>1.002</v>
      </c>
      <c r="O7">
        <v>3.5</v>
      </c>
      <c r="P7">
        <v>7.5</v>
      </c>
      <c r="Q7">
        <v>0.01</v>
      </c>
    </row>
    <row r="8" spans="1:17">
      <c r="A8">
        <v>45</v>
      </c>
      <c r="B8">
        <v>0.75</v>
      </c>
      <c r="C8" t="s">
        <v>425</v>
      </c>
      <c r="D8">
        <v>6.7000000000000002E-3</v>
      </c>
      <c r="E8">
        <v>1.5E-3</v>
      </c>
      <c r="F8">
        <v>0.1</v>
      </c>
      <c r="G8">
        <v>12</v>
      </c>
      <c r="I8">
        <v>13.9</v>
      </c>
      <c r="J8">
        <v>28.4</v>
      </c>
      <c r="K8">
        <v>22.5</v>
      </c>
      <c r="L8">
        <v>15.3</v>
      </c>
      <c r="M8">
        <v>0.69399999999999995</v>
      </c>
      <c r="N8">
        <v>1.079</v>
      </c>
      <c r="O8">
        <v>3.5</v>
      </c>
      <c r="P8">
        <v>8.5</v>
      </c>
      <c r="Q8">
        <v>1.4999999999999999E-2</v>
      </c>
    </row>
    <row r="9" spans="1:17">
      <c r="A9">
        <v>60</v>
      </c>
      <c r="B9">
        <v>0.75</v>
      </c>
      <c r="C9" t="s">
        <v>425</v>
      </c>
      <c r="D9">
        <v>6.7000000000000002E-3</v>
      </c>
      <c r="E9">
        <v>1.5E-3</v>
      </c>
      <c r="F9">
        <v>0.1</v>
      </c>
      <c r="G9">
        <v>12</v>
      </c>
      <c r="I9">
        <v>13.9</v>
      </c>
      <c r="J9">
        <v>28.4</v>
      </c>
      <c r="K9">
        <v>22.5</v>
      </c>
      <c r="L9">
        <v>15.3</v>
      </c>
      <c r="M9">
        <v>0.55000000000000004</v>
      </c>
      <c r="N9">
        <v>1.022</v>
      </c>
      <c r="O9">
        <v>4</v>
      </c>
      <c r="P9">
        <v>8.5</v>
      </c>
      <c r="Q9">
        <v>1.4500000000000001E-2</v>
      </c>
    </row>
    <row r="10" spans="1:17">
      <c r="A10">
        <v>45</v>
      </c>
      <c r="B10">
        <v>0.75</v>
      </c>
      <c r="C10" t="s">
        <v>427</v>
      </c>
      <c r="D10">
        <v>6.7000000000000002E-3</v>
      </c>
      <c r="E10">
        <v>1.5E-3</v>
      </c>
      <c r="F10">
        <v>0.1</v>
      </c>
      <c r="G10">
        <v>18</v>
      </c>
      <c r="I10">
        <v>20.5</v>
      </c>
      <c r="J10">
        <v>42.2</v>
      </c>
      <c r="K10">
        <v>22.6</v>
      </c>
      <c r="L10">
        <v>14.7</v>
      </c>
      <c r="M10">
        <v>0.72899999999999998</v>
      </c>
      <c r="N10">
        <v>1.1539999999999999</v>
      </c>
      <c r="O10">
        <v>10.5</v>
      </c>
      <c r="P10">
        <v>20</v>
      </c>
      <c r="Q10">
        <v>1.9E-2</v>
      </c>
    </row>
    <row r="11" spans="1:17">
      <c r="A11">
        <v>60</v>
      </c>
      <c r="B11">
        <v>0.75</v>
      </c>
      <c r="C11" t="s">
        <v>427</v>
      </c>
      <c r="D11">
        <v>6.7000000000000002E-3</v>
      </c>
      <c r="E11">
        <v>1.5E-3</v>
      </c>
      <c r="F11">
        <v>0.1</v>
      </c>
      <c r="G11">
        <v>18</v>
      </c>
      <c r="I11">
        <v>20.5</v>
      </c>
      <c r="J11">
        <v>42.2</v>
      </c>
      <c r="K11">
        <v>22.6</v>
      </c>
      <c r="L11">
        <v>14.7</v>
      </c>
      <c r="M11">
        <v>0.56899999999999995</v>
      </c>
      <c r="N11">
        <v>1.0589999999999999</v>
      </c>
      <c r="O11">
        <v>9</v>
      </c>
      <c r="P11">
        <v>16</v>
      </c>
      <c r="Q11">
        <v>1.6E-2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31"/>
  <sheetViews>
    <sheetView workbookViewId="0">
      <selection activeCell="Q31" sqref="Q3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v>
      </c>
      <c r="C2" t="s">
        <v>445</v>
      </c>
      <c r="D2">
        <v>2.3999999999999998E-3</v>
      </c>
      <c r="E2">
        <v>0.01</v>
      </c>
      <c r="F2">
        <v>0.06</v>
      </c>
      <c r="G2">
        <v>4</v>
      </c>
      <c r="I2">
        <v>4.5999999999999996</v>
      </c>
      <c r="J2">
        <v>9.5</v>
      </c>
      <c r="K2">
        <v>13.4</v>
      </c>
      <c r="L2">
        <v>5.3</v>
      </c>
      <c r="M2">
        <v>0.44800000000000001</v>
      </c>
      <c r="N2">
        <v>1.0269999999999999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30</v>
      </c>
      <c r="B4">
        <v>1</v>
      </c>
      <c r="C4" t="s">
        <v>511</v>
      </c>
      <c r="D4">
        <v>6.7000000000000002E-3</v>
      </c>
      <c r="E4">
        <v>1.5E-3</v>
      </c>
      <c r="F4">
        <v>0.1</v>
      </c>
      <c r="G4">
        <v>4</v>
      </c>
      <c r="I4">
        <v>4.5999999999999996</v>
      </c>
      <c r="J4">
        <v>9.5</v>
      </c>
      <c r="K4">
        <v>22.8</v>
      </c>
      <c r="L4">
        <v>15.6</v>
      </c>
      <c r="M4">
        <v>0.75600000000000001</v>
      </c>
      <c r="N4">
        <v>1.0720000000000001</v>
      </c>
      <c r="O4">
        <v>-3</v>
      </c>
      <c r="P4">
        <v>0</v>
      </c>
      <c r="Q4">
        <v>1.2999999999999999E-2</v>
      </c>
    </row>
    <row r="5" spans="1:17">
      <c r="A5">
        <v>70</v>
      </c>
      <c r="B5">
        <v>1</v>
      </c>
      <c r="C5" t="s">
        <v>511</v>
      </c>
      <c r="D5">
        <v>6.7000000000000002E-3</v>
      </c>
      <c r="E5">
        <v>1.5E-3</v>
      </c>
      <c r="F5">
        <v>0.1</v>
      </c>
      <c r="G5">
        <v>4</v>
      </c>
      <c r="I5">
        <v>4.5999999999999996</v>
      </c>
      <c r="J5">
        <v>9.5</v>
      </c>
      <c r="K5">
        <v>22.8</v>
      </c>
      <c r="L5">
        <v>15.6</v>
      </c>
      <c r="M5">
        <v>0.28100000000000003</v>
      </c>
      <c r="N5">
        <v>1.012</v>
      </c>
      <c r="O5">
        <v>-2.5</v>
      </c>
      <c r="P5">
        <v>-2</v>
      </c>
      <c r="Q5">
        <v>1.0999999999999999E-2</v>
      </c>
    </row>
    <row r="6" spans="1:17">
      <c r="A6">
        <v>60</v>
      </c>
      <c r="B6">
        <v>1</v>
      </c>
      <c r="C6" t="s">
        <v>446</v>
      </c>
      <c r="D6">
        <v>2.3999999999999998E-3</v>
      </c>
      <c r="E6">
        <v>0.01</v>
      </c>
      <c r="F6">
        <v>0.06</v>
      </c>
      <c r="G6">
        <v>8</v>
      </c>
      <c r="I6">
        <v>9.1999999999999993</v>
      </c>
      <c r="J6">
        <v>19</v>
      </c>
      <c r="K6">
        <v>13.4</v>
      </c>
      <c r="L6">
        <v>5.2</v>
      </c>
      <c r="M6">
        <v>0.50900000000000001</v>
      </c>
      <c r="N6">
        <v>1.0840000000000001</v>
      </c>
      <c r="O6">
        <v>4</v>
      </c>
      <c r="P6">
        <v>8</v>
      </c>
      <c r="Q6">
        <v>1.0999999999999999E-2</v>
      </c>
    </row>
    <row r="7" spans="1:17">
      <c r="A7">
        <v>70</v>
      </c>
      <c r="B7">
        <v>1</v>
      </c>
      <c r="C7" t="s">
        <v>446</v>
      </c>
      <c r="D7">
        <v>2.3999999999999998E-3</v>
      </c>
      <c r="E7">
        <v>0.01</v>
      </c>
      <c r="F7">
        <v>0.06</v>
      </c>
      <c r="G7">
        <v>8</v>
      </c>
      <c r="I7">
        <v>9.1999999999999993</v>
      </c>
      <c r="J7">
        <v>19</v>
      </c>
      <c r="K7">
        <v>13.4</v>
      </c>
      <c r="L7">
        <v>5.2</v>
      </c>
      <c r="M7">
        <v>0.39</v>
      </c>
      <c r="N7">
        <v>1.075</v>
      </c>
      <c r="O7">
        <v>5.5</v>
      </c>
      <c r="P7">
        <v>9.5</v>
      </c>
      <c r="Q7">
        <v>8.9999999999999993E-3</v>
      </c>
    </row>
    <row r="8" spans="1:17">
      <c r="A8">
        <v>30</v>
      </c>
      <c r="B8">
        <v>1</v>
      </c>
      <c r="C8" t="s">
        <v>424</v>
      </c>
      <c r="D8">
        <v>6.7000000000000002E-3</v>
      </c>
      <c r="E8">
        <v>1.5E-3</v>
      </c>
      <c r="F8">
        <v>0.1</v>
      </c>
      <c r="G8">
        <v>8</v>
      </c>
      <c r="I8">
        <v>9.1999999999999993</v>
      </c>
      <c r="J8">
        <v>19</v>
      </c>
      <c r="K8">
        <v>22.8</v>
      </c>
      <c r="L8">
        <v>15.4</v>
      </c>
      <c r="M8">
        <v>0.77400000000000002</v>
      </c>
      <c r="N8">
        <v>1.125</v>
      </c>
      <c r="O8">
        <v>1</v>
      </c>
      <c r="P8">
        <v>7</v>
      </c>
      <c r="Q8">
        <v>1.4999999999999999E-2</v>
      </c>
    </row>
    <row r="9" spans="1:17">
      <c r="A9">
        <v>70</v>
      </c>
      <c r="B9">
        <v>1</v>
      </c>
      <c r="C9" t="s">
        <v>424</v>
      </c>
      <c r="D9">
        <v>6.7000000000000002E-3</v>
      </c>
      <c r="E9">
        <v>1.5E-3</v>
      </c>
      <c r="F9">
        <v>0.1</v>
      </c>
      <c r="G9">
        <v>8</v>
      </c>
      <c r="I9">
        <v>9.1999999999999993</v>
      </c>
      <c r="J9">
        <v>19</v>
      </c>
      <c r="K9">
        <v>22.8</v>
      </c>
      <c r="L9">
        <v>15.4</v>
      </c>
      <c r="M9">
        <v>0.33400000000000002</v>
      </c>
      <c r="N9">
        <v>1.07</v>
      </c>
      <c r="O9">
        <v>1.5</v>
      </c>
      <c r="P9">
        <v>4</v>
      </c>
      <c r="Q9">
        <v>1.2999999999999999E-2</v>
      </c>
    </row>
    <row r="10" spans="1:17">
      <c r="A10">
        <v>60</v>
      </c>
      <c r="B10">
        <v>1</v>
      </c>
      <c r="C10" t="s">
        <v>430</v>
      </c>
      <c r="D10">
        <v>2.3999999999999998E-3</v>
      </c>
      <c r="E10">
        <v>1.5E-3</v>
      </c>
      <c r="F10">
        <v>0.06</v>
      </c>
      <c r="G10">
        <v>12</v>
      </c>
      <c r="I10">
        <v>13.8</v>
      </c>
      <c r="J10">
        <v>28.4</v>
      </c>
      <c r="K10">
        <v>13.3</v>
      </c>
      <c r="L10">
        <v>9.8000000000000007</v>
      </c>
      <c r="M10">
        <v>0.54300000000000004</v>
      </c>
      <c r="N10">
        <v>1.1719999999999999</v>
      </c>
      <c r="O10">
        <v>8</v>
      </c>
      <c r="P10">
        <v>14</v>
      </c>
      <c r="Q10">
        <v>1.0500000000000001E-2</v>
      </c>
    </row>
    <row r="11" spans="1:17">
      <c r="A11">
        <v>60</v>
      </c>
      <c r="B11">
        <v>1</v>
      </c>
      <c r="C11" t="s">
        <v>447</v>
      </c>
      <c r="D11">
        <v>2.3999999999999998E-3</v>
      </c>
      <c r="E11">
        <v>0.01</v>
      </c>
      <c r="F11">
        <v>0.06</v>
      </c>
      <c r="G11">
        <v>12</v>
      </c>
      <c r="I11">
        <v>13.8</v>
      </c>
      <c r="J11">
        <v>28.4</v>
      </c>
      <c r="K11">
        <v>13.4</v>
      </c>
      <c r="L11">
        <v>5.2</v>
      </c>
      <c r="M11">
        <v>0.53600000000000003</v>
      </c>
      <c r="N11">
        <v>1.149</v>
      </c>
      <c r="O11">
        <v>7.5</v>
      </c>
      <c r="P11">
        <v>13.5</v>
      </c>
      <c r="Q11">
        <v>0.01</v>
      </c>
    </row>
    <row r="12" spans="1:17">
      <c r="A12">
        <v>70</v>
      </c>
      <c r="B12">
        <v>1</v>
      </c>
      <c r="C12" t="s">
        <v>447</v>
      </c>
      <c r="D12">
        <v>2.3999999999999998E-3</v>
      </c>
      <c r="E12">
        <v>0.01</v>
      </c>
      <c r="F12">
        <v>0.06</v>
      </c>
      <c r="G12">
        <v>12</v>
      </c>
      <c r="I12">
        <v>13.8</v>
      </c>
      <c r="J12">
        <v>28.4</v>
      </c>
      <c r="K12">
        <v>13.4</v>
      </c>
      <c r="L12">
        <v>5.2</v>
      </c>
      <c r="M12">
        <v>0.38500000000000001</v>
      </c>
      <c r="N12">
        <v>1.1259999999999999</v>
      </c>
      <c r="O12">
        <v>6</v>
      </c>
      <c r="P12">
        <v>9.5</v>
      </c>
      <c r="Q12">
        <v>1.0999999999999999E-2</v>
      </c>
    </row>
    <row r="13" spans="1:17">
      <c r="A13">
        <v>60</v>
      </c>
      <c r="B13">
        <v>1</v>
      </c>
      <c r="C13" t="s">
        <v>431</v>
      </c>
      <c r="D13">
        <v>4.3E-3</v>
      </c>
      <c r="E13">
        <v>1.5E-3</v>
      </c>
      <c r="F13">
        <v>0.08</v>
      </c>
      <c r="G13">
        <v>12</v>
      </c>
      <c r="I13">
        <v>13.8</v>
      </c>
      <c r="J13">
        <v>28.4</v>
      </c>
      <c r="K13">
        <v>17.899999999999999</v>
      </c>
      <c r="L13">
        <v>12.8</v>
      </c>
      <c r="M13">
        <v>0.51900000000000002</v>
      </c>
      <c r="N13">
        <v>1.171</v>
      </c>
      <c r="O13">
        <v>6.5</v>
      </c>
      <c r="P13">
        <v>12</v>
      </c>
      <c r="Q13">
        <v>1.35E-2</v>
      </c>
    </row>
    <row r="14" spans="1:17">
      <c r="A14">
        <v>30</v>
      </c>
      <c r="B14">
        <v>1</v>
      </c>
      <c r="C14" t="s">
        <v>425</v>
      </c>
      <c r="D14">
        <v>6.7000000000000002E-3</v>
      </c>
      <c r="E14">
        <v>1.5E-3</v>
      </c>
      <c r="F14">
        <v>0.1</v>
      </c>
      <c r="G14">
        <v>12</v>
      </c>
      <c r="I14">
        <v>13.9</v>
      </c>
      <c r="J14">
        <v>28.4</v>
      </c>
      <c r="K14">
        <v>22.5</v>
      </c>
      <c r="L14">
        <v>15.3</v>
      </c>
      <c r="M14">
        <v>0.79400000000000004</v>
      </c>
      <c r="N14">
        <v>1.177</v>
      </c>
      <c r="O14">
        <v>6</v>
      </c>
      <c r="P14">
        <v>14.5</v>
      </c>
      <c r="Q14">
        <v>1.4999999999999999E-2</v>
      </c>
    </row>
    <row r="15" spans="1:17">
      <c r="A15">
        <v>45</v>
      </c>
      <c r="B15">
        <v>1</v>
      </c>
      <c r="C15" t="s">
        <v>425</v>
      </c>
      <c r="D15">
        <v>6.7000000000000002E-3</v>
      </c>
      <c r="E15">
        <v>1.5E-3</v>
      </c>
      <c r="F15">
        <v>0.1</v>
      </c>
      <c r="G15">
        <v>12</v>
      </c>
      <c r="I15">
        <v>13.9</v>
      </c>
      <c r="J15">
        <v>28.4</v>
      </c>
      <c r="K15">
        <v>22.5</v>
      </c>
      <c r="L15">
        <v>15.3</v>
      </c>
      <c r="M15">
        <v>0.65800000000000003</v>
      </c>
      <c r="N15">
        <v>1.1819999999999999</v>
      </c>
      <c r="O15">
        <v>5</v>
      </c>
      <c r="P15">
        <v>12.5</v>
      </c>
      <c r="Q15">
        <v>1.4999999999999999E-2</v>
      </c>
    </row>
    <row r="16" spans="1:17">
      <c r="A16">
        <v>60</v>
      </c>
      <c r="B16">
        <v>1</v>
      </c>
      <c r="C16" t="s">
        <v>425</v>
      </c>
      <c r="D16">
        <v>6.7000000000000002E-3</v>
      </c>
      <c r="E16">
        <v>1.5E-3</v>
      </c>
      <c r="F16">
        <v>0.1</v>
      </c>
      <c r="G16">
        <v>12</v>
      </c>
      <c r="I16">
        <v>13.9</v>
      </c>
      <c r="J16">
        <v>28.4</v>
      </c>
      <c r="K16">
        <v>22.5</v>
      </c>
      <c r="L16">
        <v>15.3</v>
      </c>
      <c r="M16">
        <v>0.502</v>
      </c>
      <c r="N16">
        <v>1.165</v>
      </c>
      <c r="O16">
        <v>5.5</v>
      </c>
      <c r="P16">
        <v>11</v>
      </c>
      <c r="Q16">
        <v>1.4999999999999999E-2</v>
      </c>
    </row>
    <row r="17" spans="1:17">
      <c r="A17">
        <v>60</v>
      </c>
      <c r="B17">
        <v>1</v>
      </c>
      <c r="C17" t="s">
        <v>425</v>
      </c>
      <c r="D17">
        <v>6.7000000000000002E-3</v>
      </c>
      <c r="E17">
        <v>1.5E-3</v>
      </c>
      <c r="F17">
        <v>0.1</v>
      </c>
      <c r="G17">
        <v>12</v>
      </c>
      <c r="I17">
        <v>13.9</v>
      </c>
      <c r="J17">
        <v>28.4</v>
      </c>
      <c r="K17">
        <v>22.5</v>
      </c>
      <c r="L17">
        <v>15.3</v>
      </c>
      <c r="M17">
        <v>0.502</v>
      </c>
      <c r="N17">
        <v>1.165</v>
      </c>
      <c r="O17">
        <v>5.5</v>
      </c>
      <c r="P17">
        <v>10.5</v>
      </c>
      <c r="Q17">
        <v>1.4500000000000001E-2</v>
      </c>
    </row>
    <row r="18" spans="1:17">
      <c r="A18">
        <v>70</v>
      </c>
      <c r="B18">
        <v>1</v>
      </c>
      <c r="C18" t="s">
        <v>425</v>
      </c>
      <c r="D18">
        <v>6.7000000000000002E-3</v>
      </c>
      <c r="E18">
        <v>1.5E-3</v>
      </c>
      <c r="F18">
        <v>0.1</v>
      </c>
      <c r="G18">
        <v>12</v>
      </c>
      <c r="I18">
        <v>13.9</v>
      </c>
      <c r="J18">
        <v>28.4</v>
      </c>
      <c r="K18">
        <v>22.5</v>
      </c>
      <c r="L18">
        <v>15.3</v>
      </c>
      <c r="M18">
        <v>0.36299999999999999</v>
      </c>
      <c r="N18">
        <v>1.1399999999999999</v>
      </c>
      <c r="O18">
        <v>4.5</v>
      </c>
      <c r="P18">
        <v>7.5</v>
      </c>
      <c r="Q18">
        <v>1.4999999999999999E-2</v>
      </c>
    </row>
    <row r="19" spans="1:17">
      <c r="A19">
        <v>60</v>
      </c>
      <c r="B19">
        <v>1</v>
      </c>
      <c r="C19" t="s">
        <v>448</v>
      </c>
      <c r="D19">
        <v>6.7000000000000002E-3</v>
      </c>
      <c r="E19">
        <v>0.01</v>
      </c>
      <c r="F19">
        <v>0.1</v>
      </c>
      <c r="G19">
        <v>12</v>
      </c>
      <c r="I19">
        <v>13.7</v>
      </c>
      <c r="J19">
        <v>28.3</v>
      </c>
      <c r="K19">
        <v>22.7</v>
      </c>
      <c r="L19">
        <v>11.5</v>
      </c>
      <c r="M19">
        <v>0.49199999999999999</v>
      </c>
      <c r="N19">
        <v>1.171</v>
      </c>
      <c r="O19">
        <v>5</v>
      </c>
      <c r="P19">
        <v>9.5</v>
      </c>
      <c r="Q19">
        <v>1.4500000000000001E-2</v>
      </c>
    </row>
    <row r="20" spans="1:17">
      <c r="A20">
        <v>60</v>
      </c>
      <c r="B20">
        <v>1</v>
      </c>
      <c r="C20" t="s">
        <v>449</v>
      </c>
      <c r="D20">
        <v>6.7000000000000002E-3</v>
      </c>
      <c r="E20">
        <v>0.02</v>
      </c>
      <c r="F20">
        <v>0.1</v>
      </c>
      <c r="G20">
        <v>12</v>
      </c>
      <c r="I20">
        <v>13.4</v>
      </c>
      <c r="J20">
        <v>27.5</v>
      </c>
      <c r="K20">
        <v>22.7</v>
      </c>
      <c r="L20">
        <v>7.8</v>
      </c>
      <c r="M20">
        <v>0.48799999999999999</v>
      </c>
      <c r="N20">
        <v>1.177</v>
      </c>
      <c r="O20">
        <v>5</v>
      </c>
      <c r="P20">
        <v>9.5</v>
      </c>
      <c r="Q20">
        <v>1.55E-2</v>
      </c>
    </row>
    <row r="21" spans="1:17">
      <c r="A21">
        <v>60</v>
      </c>
      <c r="B21">
        <v>1</v>
      </c>
      <c r="C21" t="s">
        <v>432</v>
      </c>
      <c r="D21">
        <v>0.01</v>
      </c>
      <c r="E21">
        <v>1.5E-3</v>
      </c>
      <c r="F21">
        <v>0.12</v>
      </c>
      <c r="G21">
        <v>12</v>
      </c>
      <c r="I21">
        <v>13.8</v>
      </c>
      <c r="J21">
        <v>28.4</v>
      </c>
      <c r="K21">
        <v>27.2</v>
      </c>
      <c r="L21">
        <v>18.7</v>
      </c>
      <c r="M21">
        <v>0.499</v>
      </c>
      <c r="N21">
        <v>1.173</v>
      </c>
      <c r="O21">
        <v>6</v>
      </c>
      <c r="P21">
        <v>11</v>
      </c>
      <c r="Q21">
        <v>1.55E-2</v>
      </c>
    </row>
    <row r="22" spans="1:17">
      <c r="A22">
        <v>30</v>
      </c>
      <c r="B22">
        <v>1</v>
      </c>
      <c r="C22" t="s">
        <v>426</v>
      </c>
      <c r="D22">
        <v>6.7000000000000002E-3</v>
      </c>
      <c r="E22">
        <v>1.5E-3</v>
      </c>
      <c r="F22">
        <v>0.1</v>
      </c>
      <c r="G22">
        <v>15</v>
      </c>
      <c r="I22">
        <v>17.100000000000001</v>
      </c>
      <c r="J22">
        <v>35.299999999999997</v>
      </c>
      <c r="K22">
        <v>22.7</v>
      </c>
      <c r="L22">
        <v>13.4</v>
      </c>
      <c r="M22">
        <v>0.79</v>
      </c>
      <c r="N22">
        <v>1.218</v>
      </c>
      <c r="O22">
        <v>7.5</v>
      </c>
      <c r="P22">
        <v>19.5</v>
      </c>
      <c r="Q22">
        <v>1.4E-2</v>
      </c>
    </row>
    <row r="23" spans="1:17">
      <c r="A23">
        <v>45</v>
      </c>
      <c r="B23">
        <v>1</v>
      </c>
      <c r="C23" t="s">
        <v>426</v>
      </c>
      <c r="D23">
        <v>6.7000000000000002E-3</v>
      </c>
      <c r="E23">
        <v>1.5E-3</v>
      </c>
      <c r="F23">
        <v>0.1</v>
      </c>
      <c r="G23">
        <v>15</v>
      </c>
      <c r="I23">
        <v>17.100000000000001</v>
      </c>
      <c r="J23">
        <v>35.299999999999997</v>
      </c>
      <c r="K23">
        <v>22.7</v>
      </c>
      <c r="L23">
        <v>13.4</v>
      </c>
      <c r="M23">
        <v>0.68500000000000005</v>
      </c>
      <c r="N23">
        <v>1.2330000000000001</v>
      </c>
      <c r="O23">
        <v>9.5</v>
      </c>
      <c r="P23">
        <v>19.5</v>
      </c>
      <c r="Q23">
        <v>1.4E-2</v>
      </c>
    </row>
    <row r="24" spans="1:17">
      <c r="A24">
        <v>60</v>
      </c>
      <c r="B24">
        <v>1</v>
      </c>
      <c r="C24" t="s">
        <v>426</v>
      </c>
      <c r="D24">
        <v>6.7000000000000002E-3</v>
      </c>
      <c r="E24">
        <v>1.5E-3</v>
      </c>
      <c r="F24">
        <v>0.1</v>
      </c>
      <c r="G24">
        <v>15</v>
      </c>
      <c r="I24">
        <v>17.100000000000001</v>
      </c>
      <c r="J24">
        <v>35.299999999999997</v>
      </c>
      <c r="K24">
        <v>22.7</v>
      </c>
      <c r="L24">
        <v>13.4</v>
      </c>
      <c r="M24">
        <v>0.52400000000000002</v>
      </c>
      <c r="N24">
        <v>1.22</v>
      </c>
      <c r="O24">
        <v>8.5</v>
      </c>
      <c r="P24">
        <v>15.5</v>
      </c>
      <c r="Q24">
        <v>1.6E-2</v>
      </c>
    </row>
    <row r="25" spans="1:17">
      <c r="A25">
        <v>70</v>
      </c>
      <c r="B25">
        <v>1</v>
      </c>
      <c r="C25" t="s">
        <v>426</v>
      </c>
      <c r="D25">
        <v>6.7000000000000002E-3</v>
      </c>
      <c r="E25">
        <v>1.5E-3</v>
      </c>
      <c r="F25">
        <v>0.1</v>
      </c>
      <c r="G25">
        <v>15</v>
      </c>
      <c r="I25">
        <v>17.100000000000001</v>
      </c>
      <c r="J25">
        <v>35.299999999999997</v>
      </c>
      <c r="K25">
        <v>22.7</v>
      </c>
      <c r="L25">
        <v>13.4</v>
      </c>
      <c r="M25">
        <v>0.40500000000000003</v>
      </c>
      <c r="N25">
        <v>1.196</v>
      </c>
      <c r="O25">
        <v>8.5</v>
      </c>
      <c r="P25">
        <v>12.5</v>
      </c>
      <c r="Q25">
        <v>1.4999999999999999E-2</v>
      </c>
    </row>
    <row r="26" spans="1:17">
      <c r="A26">
        <v>30</v>
      </c>
      <c r="B26">
        <v>1</v>
      </c>
      <c r="C26" t="s">
        <v>427</v>
      </c>
      <c r="D26">
        <v>6.7000000000000002E-3</v>
      </c>
      <c r="E26">
        <v>1.5E-3</v>
      </c>
      <c r="F26">
        <v>0.1</v>
      </c>
      <c r="G26">
        <v>18</v>
      </c>
      <c r="I26">
        <v>20.5</v>
      </c>
      <c r="J26">
        <v>42.2</v>
      </c>
      <c r="K26">
        <v>22.6</v>
      </c>
      <c r="L26">
        <v>14.7</v>
      </c>
      <c r="M26">
        <v>0.80300000000000005</v>
      </c>
      <c r="N26">
        <v>1.244</v>
      </c>
      <c r="O26">
        <v>11.5</v>
      </c>
      <c r="P26">
        <v>25</v>
      </c>
      <c r="Q26">
        <v>1.6E-2</v>
      </c>
    </row>
    <row r="27" spans="1:17">
      <c r="A27">
        <v>45</v>
      </c>
      <c r="B27">
        <v>1</v>
      </c>
      <c r="C27" t="s">
        <v>427</v>
      </c>
      <c r="D27">
        <v>6.7000000000000002E-3</v>
      </c>
      <c r="E27">
        <v>1.5E-3</v>
      </c>
      <c r="F27">
        <v>0.1</v>
      </c>
      <c r="G27">
        <v>18</v>
      </c>
      <c r="I27">
        <v>20.5</v>
      </c>
      <c r="J27">
        <v>42.2</v>
      </c>
      <c r="K27">
        <v>22.6</v>
      </c>
      <c r="L27">
        <v>14.7</v>
      </c>
      <c r="M27">
        <v>0.66900000000000004</v>
      </c>
      <c r="N27">
        <v>1.2849999999999999</v>
      </c>
      <c r="O27">
        <v>9.5</v>
      </c>
      <c r="P27">
        <v>20</v>
      </c>
      <c r="Q27">
        <v>1.35E-2</v>
      </c>
    </row>
    <row r="28" spans="1:17">
      <c r="A28">
        <v>60</v>
      </c>
      <c r="B28">
        <v>1</v>
      </c>
      <c r="C28" t="s">
        <v>427</v>
      </c>
      <c r="D28">
        <v>6.7000000000000002E-3</v>
      </c>
      <c r="E28">
        <v>1.5E-3</v>
      </c>
      <c r="F28">
        <v>0.1</v>
      </c>
      <c r="G28">
        <v>18</v>
      </c>
      <c r="I28">
        <v>20.5</v>
      </c>
      <c r="J28">
        <v>42.2</v>
      </c>
      <c r="K28">
        <v>22.6</v>
      </c>
      <c r="L28">
        <v>14.7</v>
      </c>
      <c r="M28">
        <v>0.52500000000000002</v>
      </c>
      <c r="N28">
        <v>1.278</v>
      </c>
      <c r="O28">
        <v>10</v>
      </c>
      <c r="P28">
        <v>17.5</v>
      </c>
      <c r="Q28">
        <v>1.4500000000000001E-2</v>
      </c>
    </row>
    <row r="29" spans="1:17">
      <c r="A29">
        <v>45</v>
      </c>
      <c r="B29">
        <v>1</v>
      </c>
      <c r="C29" t="s">
        <v>428</v>
      </c>
      <c r="D29">
        <v>6.7000000000000002E-3</v>
      </c>
      <c r="E29">
        <v>1.5E-3</v>
      </c>
      <c r="F29">
        <v>0.1</v>
      </c>
      <c r="G29">
        <v>21</v>
      </c>
      <c r="I29">
        <v>23.8</v>
      </c>
      <c r="J29">
        <v>48.9</v>
      </c>
      <c r="K29">
        <v>22.4</v>
      </c>
      <c r="L29">
        <v>14.4</v>
      </c>
      <c r="M29">
        <v>0.70399999999999996</v>
      </c>
      <c r="N29">
        <v>1.33</v>
      </c>
      <c r="O29">
        <v>15.5</v>
      </c>
      <c r="P29">
        <v>29</v>
      </c>
      <c r="Q29">
        <v>1.6500000000000001E-2</v>
      </c>
    </row>
    <row r="30" spans="1:17">
      <c r="A30">
        <v>60</v>
      </c>
      <c r="B30">
        <v>1</v>
      </c>
      <c r="C30" t="s">
        <v>428</v>
      </c>
      <c r="D30">
        <v>6.7000000000000002E-3</v>
      </c>
      <c r="E30">
        <v>1.5E-3</v>
      </c>
      <c r="F30">
        <v>0.1</v>
      </c>
      <c r="G30">
        <v>21</v>
      </c>
      <c r="I30">
        <v>23.8</v>
      </c>
      <c r="J30">
        <v>48.9</v>
      </c>
      <c r="K30">
        <v>22.4</v>
      </c>
      <c r="L30">
        <v>14.4</v>
      </c>
      <c r="M30">
        <v>0.54200000000000004</v>
      </c>
      <c r="N30">
        <v>1.335</v>
      </c>
      <c r="O30">
        <v>13</v>
      </c>
      <c r="P30">
        <v>20.5</v>
      </c>
      <c r="Q30">
        <v>2.2499999999999999E-2</v>
      </c>
    </row>
    <row r="31" spans="1:17">
      <c r="A31">
        <v>45</v>
      </c>
      <c r="B31">
        <v>1</v>
      </c>
      <c r="C31" t="s">
        <v>429</v>
      </c>
      <c r="D31">
        <v>6.7000000000000002E-3</v>
      </c>
      <c r="E31">
        <v>1.5E-3</v>
      </c>
      <c r="F31">
        <v>0.1</v>
      </c>
      <c r="G31">
        <v>24</v>
      </c>
      <c r="I31">
        <v>27.1</v>
      </c>
      <c r="J31">
        <v>55.5</v>
      </c>
      <c r="K31">
        <v>22.3</v>
      </c>
      <c r="L31">
        <v>14.1</v>
      </c>
      <c r="M31">
        <v>0.70799999999999996</v>
      </c>
      <c r="N31">
        <v>1.377</v>
      </c>
      <c r="O31">
        <v>18</v>
      </c>
      <c r="P31">
        <v>33.5</v>
      </c>
      <c r="Q31">
        <v>1.6500000000000001E-2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10"/>
  <sheetViews>
    <sheetView workbookViewId="0">
      <selection activeCell="Q10" sqref="Q1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1.25</v>
      </c>
      <c r="C2" t="s">
        <v>511</v>
      </c>
      <c r="D2">
        <v>6.7000000000000002E-3</v>
      </c>
      <c r="E2">
        <v>1.5E-3</v>
      </c>
      <c r="F2">
        <v>0.1</v>
      </c>
      <c r="G2">
        <v>4</v>
      </c>
      <c r="I2">
        <v>4.5999999999999996</v>
      </c>
      <c r="J2">
        <v>9.5</v>
      </c>
      <c r="K2">
        <v>22.8</v>
      </c>
      <c r="L2">
        <v>15.6</v>
      </c>
      <c r="M2">
        <v>0.72260000000000002</v>
      </c>
      <c r="N2">
        <v>1.115</v>
      </c>
      <c r="O2">
        <v>-3</v>
      </c>
      <c r="P2">
        <v>0</v>
      </c>
      <c r="Q2">
        <v>1.2999999999999999E-2</v>
      </c>
    </row>
    <row r="3" spans="1:17">
      <c r="A3">
        <v>70</v>
      </c>
      <c r="B3">
        <v>1.25</v>
      </c>
      <c r="C3" t="s">
        <v>424</v>
      </c>
      <c r="D3">
        <v>6.7000000000000002E-3</v>
      </c>
      <c r="E3">
        <v>1.5E-3</v>
      </c>
      <c r="F3">
        <v>0.1</v>
      </c>
      <c r="G3">
        <v>8</v>
      </c>
      <c r="I3">
        <v>9.1999999999999993</v>
      </c>
      <c r="J3">
        <v>19</v>
      </c>
      <c r="K3">
        <v>22.8</v>
      </c>
      <c r="L3">
        <v>15.4</v>
      </c>
      <c r="M3">
        <v>0.34599999999999997</v>
      </c>
      <c r="N3">
        <v>1.2350000000000001</v>
      </c>
      <c r="O3">
        <v>6</v>
      </c>
      <c r="P3">
        <v>8</v>
      </c>
      <c r="Q3">
        <v>0.01</v>
      </c>
    </row>
    <row r="4" spans="1:17">
      <c r="A4">
        <v>30</v>
      </c>
      <c r="B4">
        <v>1.25</v>
      </c>
      <c r="C4" t="s">
        <v>425</v>
      </c>
      <c r="D4">
        <v>6.7000000000000002E-3</v>
      </c>
      <c r="E4">
        <v>1.5E-3</v>
      </c>
      <c r="F4">
        <v>0.1</v>
      </c>
      <c r="G4">
        <v>12</v>
      </c>
      <c r="I4">
        <v>13.9</v>
      </c>
      <c r="J4">
        <v>28.4</v>
      </c>
      <c r="K4">
        <v>22.5</v>
      </c>
      <c r="L4">
        <v>15.3</v>
      </c>
      <c r="M4">
        <v>0.76800000000000002</v>
      </c>
      <c r="N4">
        <v>1.232</v>
      </c>
      <c r="O4">
        <v>7.5</v>
      </c>
      <c r="P4">
        <v>17.5</v>
      </c>
      <c r="Q4">
        <v>1.55E-2</v>
      </c>
    </row>
    <row r="5" spans="1:17">
      <c r="A5">
        <v>45</v>
      </c>
      <c r="B5">
        <v>1.25</v>
      </c>
      <c r="C5" t="s">
        <v>425</v>
      </c>
      <c r="D5">
        <v>6.7000000000000002E-3</v>
      </c>
      <c r="E5">
        <v>1.5E-3</v>
      </c>
      <c r="F5">
        <v>0.1</v>
      </c>
      <c r="G5">
        <v>12</v>
      </c>
      <c r="I5">
        <v>13.9</v>
      </c>
      <c r="J5">
        <v>28.4</v>
      </c>
      <c r="K5">
        <v>22.5</v>
      </c>
      <c r="L5">
        <v>15.3</v>
      </c>
      <c r="M5">
        <v>0.63900000000000001</v>
      </c>
      <c r="N5">
        <v>1.2669999999999999</v>
      </c>
      <c r="O5">
        <v>7</v>
      </c>
      <c r="P5">
        <v>15</v>
      </c>
      <c r="Q5">
        <v>1.4999999999999999E-2</v>
      </c>
    </row>
    <row r="6" spans="1:17">
      <c r="A6">
        <v>60</v>
      </c>
      <c r="B6">
        <v>1.25</v>
      </c>
      <c r="C6" t="s">
        <v>425</v>
      </c>
      <c r="D6">
        <v>6.7000000000000002E-3</v>
      </c>
      <c r="E6">
        <v>1.5E-3</v>
      </c>
      <c r="F6">
        <v>0.1</v>
      </c>
      <c r="G6">
        <v>12</v>
      </c>
      <c r="I6">
        <v>13.9</v>
      </c>
      <c r="J6">
        <v>28.4</v>
      </c>
      <c r="K6">
        <v>22.5</v>
      </c>
      <c r="L6">
        <v>15.3</v>
      </c>
      <c r="M6">
        <v>0.49399999999999999</v>
      </c>
      <c r="N6">
        <v>1.3069999999999999</v>
      </c>
      <c r="O6">
        <v>9</v>
      </c>
      <c r="P6">
        <v>14</v>
      </c>
      <c r="Q6">
        <v>1.2E-2</v>
      </c>
    </row>
    <row r="7" spans="1:17">
      <c r="A7">
        <v>70</v>
      </c>
      <c r="B7">
        <v>1.25</v>
      </c>
      <c r="C7" t="s">
        <v>425</v>
      </c>
      <c r="D7">
        <v>6.7000000000000002E-3</v>
      </c>
      <c r="E7">
        <v>1.5E-3</v>
      </c>
      <c r="F7">
        <v>0.1</v>
      </c>
      <c r="G7">
        <v>12</v>
      </c>
      <c r="I7">
        <v>13.9</v>
      </c>
      <c r="J7">
        <v>28.4</v>
      </c>
      <c r="K7">
        <v>22.5</v>
      </c>
      <c r="L7">
        <v>15.3</v>
      </c>
      <c r="M7">
        <v>0.36399999999999999</v>
      </c>
      <c r="N7">
        <v>1.3680000000000001</v>
      </c>
      <c r="O7">
        <v>9</v>
      </c>
      <c r="P7">
        <v>12.5</v>
      </c>
      <c r="Q7">
        <v>1.2999999999999999E-2</v>
      </c>
    </row>
    <row r="8" spans="1:17">
      <c r="A8">
        <v>30</v>
      </c>
      <c r="B8">
        <v>1.25</v>
      </c>
      <c r="C8" t="s">
        <v>427</v>
      </c>
      <c r="D8">
        <v>6.7000000000000002E-3</v>
      </c>
      <c r="E8">
        <v>1.5E-3</v>
      </c>
      <c r="F8">
        <v>0.1</v>
      </c>
      <c r="G8">
        <v>18</v>
      </c>
      <c r="I8">
        <v>20.5</v>
      </c>
      <c r="J8">
        <v>42.2</v>
      </c>
      <c r="K8">
        <v>22.6</v>
      </c>
      <c r="L8">
        <v>14.7</v>
      </c>
      <c r="M8">
        <v>0.78300000000000003</v>
      </c>
      <c r="N8">
        <v>1.2749999999999999</v>
      </c>
      <c r="O8">
        <v>12.5</v>
      </c>
      <c r="P8">
        <v>27</v>
      </c>
      <c r="Q8">
        <v>1.55E-2</v>
      </c>
    </row>
    <row r="9" spans="1:17">
      <c r="A9">
        <v>45</v>
      </c>
      <c r="B9">
        <v>1.25</v>
      </c>
      <c r="C9" t="s">
        <v>427</v>
      </c>
      <c r="D9">
        <v>6.7000000000000002E-3</v>
      </c>
      <c r="E9">
        <v>1.5E-3</v>
      </c>
      <c r="F9">
        <v>0.1</v>
      </c>
      <c r="G9">
        <v>18</v>
      </c>
      <c r="I9">
        <v>20.5</v>
      </c>
      <c r="J9">
        <v>42.2</v>
      </c>
      <c r="K9">
        <v>22.6</v>
      </c>
      <c r="L9">
        <v>14.7</v>
      </c>
      <c r="M9">
        <v>0.67900000000000005</v>
      </c>
      <c r="N9">
        <v>1.375</v>
      </c>
      <c r="O9">
        <v>15</v>
      </c>
      <c r="P9">
        <v>27.5</v>
      </c>
      <c r="Q9">
        <v>1.6E-2</v>
      </c>
    </row>
    <row r="10" spans="1:17">
      <c r="A10">
        <v>60</v>
      </c>
      <c r="B10">
        <v>1.25</v>
      </c>
      <c r="C10" t="s">
        <v>427</v>
      </c>
      <c r="D10">
        <v>6.7000000000000002E-3</v>
      </c>
      <c r="E10">
        <v>1.5E-3</v>
      </c>
      <c r="F10">
        <v>0.1</v>
      </c>
      <c r="G10">
        <v>18</v>
      </c>
      <c r="I10">
        <v>20.5</v>
      </c>
      <c r="J10">
        <v>42.2</v>
      </c>
      <c r="K10">
        <v>22.6</v>
      </c>
      <c r="L10">
        <v>14.7</v>
      </c>
      <c r="M10">
        <v>0.52500000000000002</v>
      </c>
      <c r="N10">
        <v>1.4590000000000001</v>
      </c>
      <c r="O10">
        <v>15</v>
      </c>
      <c r="P10">
        <v>23.5</v>
      </c>
      <c r="Q10">
        <v>1.4E-2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40"/>
  <sheetViews>
    <sheetView workbookViewId="0">
      <selection activeCell="Q40" sqref="Q4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1.5</v>
      </c>
      <c r="C2" t="s">
        <v>445</v>
      </c>
      <c r="D2">
        <v>2.3999999999999998E-3</v>
      </c>
      <c r="E2">
        <v>0.01</v>
      </c>
      <c r="F2">
        <v>0.06</v>
      </c>
      <c r="G2">
        <v>4</v>
      </c>
      <c r="I2">
        <v>4.5999999999999996</v>
      </c>
      <c r="J2">
        <v>9.5</v>
      </c>
      <c r="K2">
        <v>13.4</v>
      </c>
      <c r="L2">
        <v>5.3</v>
      </c>
      <c r="M2">
        <v>0.47099999999999997</v>
      </c>
      <c r="N2">
        <v>1.1100000000000001</v>
      </c>
      <c r="O2">
        <v>3.5</v>
      </c>
      <c r="P2">
        <v>6</v>
      </c>
      <c r="Q2">
        <v>8.9999999999999993E-3</v>
      </c>
    </row>
    <row r="3" spans="1:17">
      <c r="A3">
        <v>70</v>
      </c>
      <c r="B3">
        <v>1.5</v>
      </c>
      <c r="C3" t="s">
        <v>445</v>
      </c>
      <c r="D3">
        <v>2.3999999999999998E-3</v>
      </c>
      <c r="E3">
        <v>0.01</v>
      </c>
      <c r="F3">
        <v>0.06</v>
      </c>
      <c r="G3">
        <v>4</v>
      </c>
      <c r="I3">
        <v>4.5999999999999996</v>
      </c>
      <c r="J3">
        <v>9.5</v>
      </c>
      <c r="K3">
        <v>13.4</v>
      </c>
      <c r="L3">
        <v>5.3</v>
      </c>
      <c r="M3">
        <v>0.32300000000000001</v>
      </c>
      <c r="N3">
        <v>1.145</v>
      </c>
      <c r="O3">
        <v>3.5</v>
      </c>
      <c r="P3">
        <v>5</v>
      </c>
      <c r="Q3">
        <v>8.9999999999999993E-3</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70</v>
      </c>
      <c r="B6">
        <v>1.5</v>
      </c>
      <c r="C6" t="s">
        <v>511</v>
      </c>
      <c r="D6">
        <v>6.7000000000000002E-3</v>
      </c>
      <c r="E6">
        <v>1.5E-3</v>
      </c>
      <c r="F6">
        <v>0.1</v>
      </c>
      <c r="G6">
        <v>4</v>
      </c>
      <c r="I6">
        <v>4.5999999999999996</v>
      </c>
      <c r="J6">
        <v>9.5</v>
      </c>
      <c r="K6">
        <v>22.8</v>
      </c>
      <c r="L6">
        <v>15.6</v>
      </c>
      <c r="M6">
        <v>0.26</v>
      </c>
      <c r="N6">
        <v>1.2490000000000001</v>
      </c>
      <c r="O6">
        <v>1.5</v>
      </c>
      <c r="P6">
        <v>0.5</v>
      </c>
      <c r="Q6">
        <v>1.0500000000000001E-2</v>
      </c>
    </row>
    <row r="7" spans="1:17">
      <c r="A7">
        <v>60</v>
      </c>
      <c r="B7">
        <v>1.5</v>
      </c>
      <c r="C7" t="s">
        <v>446</v>
      </c>
      <c r="D7">
        <v>2.3999999999999998E-3</v>
      </c>
      <c r="E7">
        <v>0.01</v>
      </c>
      <c r="F7">
        <v>0.06</v>
      </c>
      <c r="G7">
        <v>8</v>
      </c>
      <c r="I7">
        <v>9.1999999999999993</v>
      </c>
      <c r="J7">
        <v>19</v>
      </c>
      <c r="K7">
        <v>13.4</v>
      </c>
      <c r="L7">
        <v>5.2</v>
      </c>
      <c r="M7">
        <v>0.46300000000000002</v>
      </c>
      <c r="N7">
        <v>1.242</v>
      </c>
      <c r="O7">
        <v>5</v>
      </c>
      <c r="P7">
        <v>10</v>
      </c>
      <c r="Q7">
        <v>0.01</v>
      </c>
    </row>
    <row r="8" spans="1:17">
      <c r="A8">
        <v>70</v>
      </c>
      <c r="B8">
        <v>1.5</v>
      </c>
      <c r="C8" t="s">
        <v>446</v>
      </c>
      <c r="D8">
        <v>2.3999999999999998E-3</v>
      </c>
      <c r="E8">
        <v>0.01</v>
      </c>
      <c r="F8">
        <v>0.06</v>
      </c>
      <c r="G8">
        <v>8</v>
      </c>
      <c r="I8">
        <v>9.1999999999999993</v>
      </c>
      <c r="J8">
        <v>19</v>
      </c>
      <c r="K8">
        <v>13.4</v>
      </c>
      <c r="L8">
        <v>5.2</v>
      </c>
      <c r="M8">
        <v>0.32500000000000001</v>
      </c>
      <c r="N8">
        <v>1.327</v>
      </c>
      <c r="O8">
        <v>5.5</v>
      </c>
      <c r="P8">
        <v>10</v>
      </c>
      <c r="Q8">
        <v>1.2999999999999999E-2</v>
      </c>
    </row>
    <row r="9" spans="1:17">
      <c r="A9">
        <v>30</v>
      </c>
      <c r="B9">
        <v>1.5</v>
      </c>
      <c r="C9" t="s">
        <v>424</v>
      </c>
      <c r="D9">
        <v>6.7000000000000002E-3</v>
      </c>
      <c r="E9">
        <v>1.5E-3</v>
      </c>
      <c r="F9">
        <v>0.1</v>
      </c>
      <c r="G9">
        <v>8</v>
      </c>
      <c r="I9">
        <v>9.1999999999999993</v>
      </c>
      <c r="J9">
        <v>19</v>
      </c>
      <c r="K9">
        <v>22.8</v>
      </c>
      <c r="L9">
        <v>15.4</v>
      </c>
      <c r="M9">
        <v>0.71899999999999997</v>
      </c>
      <c r="N9">
        <v>1.228</v>
      </c>
      <c r="O9">
        <v>1</v>
      </c>
      <c r="P9">
        <v>7.5</v>
      </c>
      <c r="Q9">
        <v>1.4999999999999999E-2</v>
      </c>
    </row>
    <row r="10" spans="1:17">
      <c r="A10">
        <v>45</v>
      </c>
      <c r="B10">
        <v>1.5</v>
      </c>
      <c r="C10" t="s">
        <v>424</v>
      </c>
      <c r="D10">
        <v>6.7000000000000002E-3</v>
      </c>
      <c r="E10">
        <v>1.5E-3</v>
      </c>
      <c r="F10">
        <v>0.1</v>
      </c>
      <c r="G10">
        <v>8</v>
      </c>
      <c r="I10">
        <v>9.1999999999999993</v>
      </c>
      <c r="J10">
        <v>19</v>
      </c>
      <c r="K10">
        <v>22.8</v>
      </c>
      <c r="L10">
        <v>15.4</v>
      </c>
      <c r="M10">
        <v>0.57799999999999996</v>
      </c>
      <c r="N10">
        <v>1.258</v>
      </c>
      <c r="O10">
        <v>2</v>
      </c>
      <c r="P10">
        <v>8</v>
      </c>
      <c r="Q10">
        <v>1.55E-2</v>
      </c>
    </row>
    <row r="11" spans="1:17">
      <c r="A11">
        <v>60</v>
      </c>
      <c r="B11">
        <v>1.5</v>
      </c>
      <c r="C11" t="s">
        <v>424</v>
      </c>
      <c r="D11">
        <v>6.7000000000000002E-3</v>
      </c>
      <c r="E11">
        <v>1.5E-3</v>
      </c>
      <c r="F11">
        <v>0.1</v>
      </c>
      <c r="G11">
        <v>8</v>
      </c>
      <c r="I11">
        <v>9.1999999999999993</v>
      </c>
      <c r="J11">
        <v>19</v>
      </c>
      <c r="K11">
        <v>22.8</v>
      </c>
      <c r="L11">
        <v>15.4</v>
      </c>
      <c r="M11">
        <v>0.443</v>
      </c>
      <c r="N11">
        <v>1.306</v>
      </c>
      <c r="O11">
        <v>6</v>
      </c>
      <c r="P11">
        <v>9</v>
      </c>
      <c r="Q11">
        <v>1.0999999999999999E-2</v>
      </c>
    </row>
    <row r="12" spans="1:17">
      <c r="A12">
        <v>70</v>
      </c>
      <c r="B12">
        <v>1.5</v>
      </c>
      <c r="C12" t="s">
        <v>424</v>
      </c>
      <c r="D12">
        <v>6.7000000000000002E-3</v>
      </c>
      <c r="E12">
        <v>1.5E-3</v>
      </c>
      <c r="F12">
        <v>0.1</v>
      </c>
      <c r="G12">
        <v>8</v>
      </c>
      <c r="I12">
        <v>9.1999999999999993</v>
      </c>
      <c r="J12">
        <v>19</v>
      </c>
      <c r="K12">
        <v>22.8</v>
      </c>
      <c r="L12">
        <v>15.4</v>
      </c>
      <c r="M12">
        <v>0.317</v>
      </c>
      <c r="N12">
        <v>1.3939999999999999</v>
      </c>
      <c r="O12">
        <v>7</v>
      </c>
      <c r="P12">
        <v>8.5</v>
      </c>
      <c r="Q12">
        <v>1.15E-2</v>
      </c>
    </row>
    <row r="13" spans="1:17">
      <c r="A13">
        <v>45</v>
      </c>
      <c r="B13">
        <v>1.5</v>
      </c>
      <c r="C13" t="s">
        <v>430</v>
      </c>
      <c r="D13">
        <v>2.3999999999999998E-3</v>
      </c>
      <c r="E13">
        <v>1.5E-3</v>
      </c>
      <c r="F13">
        <v>0.06</v>
      </c>
      <c r="G13">
        <v>12</v>
      </c>
      <c r="I13">
        <v>13.8</v>
      </c>
      <c r="J13">
        <v>28.4</v>
      </c>
      <c r="K13">
        <v>13.3</v>
      </c>
      <c r="L13">
        <v>9.8000000000000007</v>
      </c>
      <c r="M13">
        <v>0.68600000000000005</v>
      </c>
      <c r="N13">
        <v>1.294</v>
      </c>
      <c r="O13">
        <v>11</v>
      </c>
      <c r="P13">
        <v>21</v>
      </c>
      <c r="Q13">
        <v>1.2E-2</v>
      </c>
    </row>
    <row r="14" spans="1:17">
      <c r="A14">
        <v>60</v>
      </c>
      <c r="B14">
        <v>1.5</v>
      </c>
      <c r="C14" t="s">
        <v>430</v>
      </c>
      <c r="D14">
        <v>2.3999999999999998E-3</v>
      </c>
      <c r="E14">
        <v>1.5E-3</v>
      </c>
      <c r="F14">
        <v>0.06</v>
      </c>
      <c r="G14">
        <v>12</v>
      </c>
      <c r="I14">
        <v>13.8</v>
      </c>
      <c r="J14">
        <v>28.4</v>
      </c>
      <c r="K14">
        <v>13.3</v>
      </c>
      <c r="L14">
        <v>9.8000000000000007</v>
      </c>
      <c r="M14">
        <v>0.498</v>
      </c>
      <c r="N14">
        <v>1.4019999999999999</v>
      </c>
      <c r="O14">
        <v>10</v>
      </c>
      <c r="P14">
        <v>17.5</v>
      </c>
      <c r="Q14">
        <v>1.2E-2</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45</v>
      </c>
      <c r="B17">
        <v>1.5</v>
      </c>
      <c r="C17" t="s">
        <v>431</v>
      </c>
      <c r="D17">
        <v>4.3E-3</v>
      </c>
      <c r="E17">
        <v>1.5E-3</v>
      </c>
      <c r="F17">
        <v>0.08</v>
      </c>
      <c r="G17">
        <v>12</v>
      </c>
      <c r="I17">
        <v>13.8</v>
      </c>
      <c r="J17">
        <v>28.4</v>
      </c>
      <c r="K17">
        <v>17.899999999999999</v>
      </c>
      <c r="L17">
        <v>12.8</v>
      </c>
      <c r="M17">
        <v>0.64800000000000002</v>
      </c>
      <c r="N17">
        <v>1.3180000000000001</v>
      </c>
      <c r="O17">
        <v>9</v>
      </c>
      <c r="P17">
        <v>19.5</v>
      </c>
      <c r="Q17">
        <v>1.35E-2</v>
      </c>
    </row>
    <row r="18" spans="1:17">
      <c r="A18">
        <v>60</v>
      </c>
      <c r="B18">
        <v>1.5</v>
      </c>
      <c r="C18" t="s">
        <v>431</v>
      </c>
      <c r="D18">
        <v>4.3E-3</v>
      </c>
      <c r="E18">
        <v>1.5E-3</v>
      </c>
      <c r="F18">
        <v>0.08</v>
      </c>
      <c r="G18">
        <v>12</v>
      </c>
      <c r="I18">
        <v>13.8</v>
      </c>
      <c r="J18">
        <v>28.4</v>
      </c>
      <c r="K18">
        <v>17.899999999999999</v>
      </c>
      <c r="L18">
        <v>12.8</v>
      </c>
      <c r="M18">
        <v>0.48199999999999998</v>
      </c>
      <c r="N18">
        <v>1.4179999999999999</v>
      </c>
      <c r="O18">
        <v>10</v>
      </c>
      <c r="P18">
        <v>17</v>
      </c>
      <c r="Q18">
        <v>1.2999999999999999E-2</v>
      </c>
    </row>
    <row r="19" spans="1:17">
      <c r="A19">
        <v>30</v>
      </c>
      <c r="B19">
        <v>1.5</v>
      </c>
      <c r="C19" t="s">
        <v>425</v>
      </c>
      <c r="D19">
        <v>6.7000000000000002E-3</v>
      </c>
      <c r="E19">
        <v>1.5E-3</v>
      </c>
      <c r="F19">
        <v>0.1</v>
      </c>
      <c r="G19">
        <v>12</v>
      </c>
      <c r="I19">
        <v>13.9</v>
      </c>
      <c r="J19">
        <v>28.4</v>
      </c>
      <c r="K19">
        <v>22.5</v>
      </c>
      <c r="L19">
        <v>15.3</v>
      </c>
      <c r="M19">
        <v>0.755</v>
      </c>
      <c r="N19">
        <v>1.282</v>
      </c>
      <c r="O19">
        <v>7.5</v>
      </c>
      <c r="P19">
        <v>18</v>
      </c>
      <c r="Q19">
        <v>1.6E-2</v>
      </c>
    </row>
    <row r="20" spans="1:17">
      <c r="A20">
        <v>45</v>
      </c>
      <c r="B20">
        <v>1.5</v>
      </c>
      <c r="C20" t="s">
        <v>425</v>
      </c>
      <c r="D20">
        <v>6.7000000000000002E-3</v>
      </c>
      <c r="E20">
        <v>1.5E-3</v>
      </c>
      <c r="F20">
        <v>0.1</v>
      </c>
      <c r="G20">
        <v>12</v>
      </c>
      <c r="I20">
        <v>13.9</v>
      </c>
      <c r="J20">
        <v>28.4</v>
      </c>
      <c r="K20">
        <v>22.5</v>
      </c>
      <c r="L20">
        <v>15.3</v>
      </c>
      <c r="M20">
        <v>0.61399999999999999</v>
      </c>
      <c r="N20">
        <v>1.3440000000000001</v>
      </c>
      <c r="O20">
        <v>7.5</v>
      </c>
      <c r="P20">
        <v>16.5</v>
      </c>
      <c r="Q20">
        <v>1.4999999999999999E-2</v>
      </c>
    </row>
    <row r="21" spans="1:17">
      <c r="A21">
        <v>45</v>
      </c>
      <c r="B21">
        <v>1.5</v>
      </c>
      <c r="C21" t="s">
        <v>425</v>
      </c>
      <c r="D21">
        <v>6.7000000000000002E-3</v>
      </c>
      <c r="E21">
        <v>1.5E-3</v>
      </c>
      <c r="F21">
        <v>0.1</v>
      </c>
      <c r="G21">
        <v>12</v>
      </c>
      <c r="I21">
        <v>13.9</v>
      </c>
      <c r="J21">
        <v>28.4</v>
      </c>
      <c r="K21">
        <v>22.5</v>
      </c>
      <c r="L21">
        <v>15.3</v>
      </c>
      <c r="M21">
        <v>0.62</v>
      </c>
      <c r="N21">
        <v>1.341</v>
      </c>
      <c r="O21">
        <v>8</v>
      </c>
      <c r="P21">
        <v>17</v>
      </c>
      <c r="Q21">
        <v>1.4E-2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70</v>
      </c>
      <c r="B24">
        <v>1.5</v>
      </c>
      <c r="C24" t="s">
        <v>425</v>
      </c>
      <c r="D24">
        <v>6.7000000000000002E-3</v>
      </c>
      <c r="E24">
        <v>1.5E-3</v>
      </c>
      <c r="F24">
        <v>0.1</v>
      </c>
      <c r="G24">
        <v>12</v>
      </c>
      <c r="I24">
        <v>13.9</v>
      </c>
      <c r="J24">
        <v>28.4</v>
      </c>
      <c r="K24">
        <v>22.5</v>
      </c>
      <c r="L24">
        <v>15.3</v>
      </c>
      <c r="M24">
        <v>0.33800000000000002</v>
      </c>
      <c r="N24">
        <v>1.5660000000000001</v>
      </c>
      <c r="O24">
        <v>10.5</v>
      </c>
      <c r="P24">
        <v>13</v>
      </c>
      <c r="Q24">
        <v>1.2E-2</v>
      </c>
    </row>
    <row r="25" spans="1:17">
      <c r="A25">
        <v>45</v>
      </c>
      <c r="B25">
        <v>1.5</v>
      </c>
      <c r="C25" t="s">
        <v>448</v>
      </c>
      <c r="D25">
        <v>6.7000000000000002E-3</v>
      </c>
      <c r="E25">
        <v>0.01</v>
      </c>
      <c r="F25">
        <v>0.1</v>
      </c>
      <c r="G25">
        <v>12</v>
      </c>
      <c r="I25">
        <v>13.7</v>
      </c>
      <c r="J25">
        <v>28.3</v>
      </c>
      <c r="K25">
        <v>22.7</v>
      </c>
      <c r="L25">
        <v>11.5</v>
      </c>
      <c r="M25">
        <v>0.60399999999999998</v>
      </c>
      <c r="N25">
        <v>1.3480000000000001</v>
      </c>
      <c r="O25">
        <v>6.5</v>
      </c>
      <c r="P25">
        <v>15</v>
      </c>
      <c r="Q25">
        <v>1.4E-2</v>
      </c>
    </row>
    <row r="26" spans="1:17">
      <c r="A26">
        <v>45</v>
      </c>
      <c r="B26">
        <v>1.5</v>
      </c>
      <c r="C26" t="s">
        <v>449</v>
      </c>
      <c r="D26">
        <v>6.7000000000000002E-3</v>
      </c>
      <c r="E26">
        <v>0.02</v>
      </c>
      <c r="F26">
        <v>0.1</v>
      </c>
      <c r="G26">
        <v>12</v>
      </c>
      <c r="I26">
        <v>13.4</v>
      </c>
      <c r="J26">
        <v>27.5</v>
      </c>
      <c r="K26">
        <v>22.7</v>
      </c>
      <c r="L26">
        <v>7.8</v>
      </c>
      <c r="M26">
        <v>0.62</v>
      </c>
      <c r="N26">
        <v>1.333</v>
      </c>
      <c r="O26">
        <v>8</v>
      </c>
      <c r="P26">
        <v>16</v>
      </c>
      <c r="Q26">
        <v>1.55E-2</v>
      </c>
    </row>
    <row r="27" spans="1:17">
      <c r="A27">
        <v>45</v>
      </c>
      <c r="B27">
        <v>1.5</v>
      </c>
      <c r="C27" t="s">
        <v>432</v>
      </c>
      <c r="D27">
        <v>0.01</v>
      </c>
      <c r="E27">
        <v>1.5E-3</v>
      </c>
      <c r="F27">
        <v>0.12</v>
      </c>
      <c r="G27">
        <v>12</v>
      </c>
      <c r="I27">
        <v>13.8</v>
      </c>
      <c r="J27">
        <v>28.4</v>
      </c>
      <c r="K27">
        <v>27.2</v>
      </c>
      <c r="L27">
        <v>18.7</v>
      </c>
      <c r="M27">
        <v>0.60599999999999998</v>
      </c>
      <c r="N27">
        <v>1.36</v>
      </c>
      <c r="O27">
        <v>8.5</v>
      </c>
      <c r="P27">
        <v>16.5</v>
      </c>
      <c r="Q27">
        <v>1.6500000000000001E-2</v>
      </c>
    </row>
    <row r="28" spans="1:17">
      <c r="A28">
        <v>60</v>
      </c>
      <c r="B28">
        <v>1.5</v>
      </c>
      <c r="C28" t="s">
        <v>432</v>
      </c>
      <c r="D28">
        <v>0.01</v>
      </c>
      <c r="E28">
        <v>1.5E-3</v>
      </c>
      <c r="F28">
        <v>0.12</v>
      </c>
      <c r="G28">
        <v>12</v>
      </c>
      <c r="I28">
        <v>13.8</v>
      </c>
      <c r="J28">
        <v>28.4</v>
      </c>
      <c r="K28">
        <v>27.2</v>
      </c>
      <c r="L28">
        <v>18.7</v>
      </c>
      <c r="M28">
        <v>0.47299999999999998</v>
      </c>
      <c r="N28">
        <v>1.4379999999999999</v>
      </c>
      <c r="O28">
        <v>12</v>
      </c>
      <c r="P28">
        <v>17.5</v>
      </c>
      <c r="Q28">
        <v>1.4500000000000001E-2</v>
      </c>
    </row>
    <row r="29" spans="1:17">
      <c r="A29">
        <v>45</v>
      </c>
      <c r="B29">
        <v>1.5</v>
      </c>
      <c r="C29" t="s">
        <v>433</v>
      </c>
      <c r="D29">
        <v>1.5100000000000001E-2</v>
      </c>
      <c r="E29">
        <v>1.5E-3</v>
      </c>
      <c r="F29">
        <v>0.15</v>
      </c>
      <c r="G29">
        <v>12</v>
      </c>
      <c r="I29">
        <v>13.6</v>
      </c>
      <c r="J29">
        <v>28.2</v>
      </c>
      <c r="K29">
        <v>33.799999999999997</v>
      </c>
      <c r="L29">
        <v>22.7</v>
      </c>
      <c r="M29">
        <v>0.56899999999999995</v>
      </c>
      <c r="N29">
        <v>1.4019999999999999</v>
      </c>
      <c r="O29">
        <v>8</v>
      </c>
      <c r="P29">
        <v>14.5</v>
      </c>
      <c r="Q29">
        <v>1.7999999999999999E-2</v>
      </c>
    </row>
    <row r="30" spans="1:17">
      <c r="A30">
        <v>60</v>
      </c>
      <c r="B30">
        <v>1.5</v>
      </c>
      <c r="C30" t="s">
        <v>433</v>
      </c>
      <c r="D30">
        <v>1.5100000000000001E-2</v>
      </c>
      <c r="E30">
        <v>1.5E-3</v>
      </c>
      <c r="F30">
        <v>0.15</v>
      </c>
      <c r="G30">
        <v>12</v>
      </c>
      <c r="I30">
        <v>13.6</v>
      </c>
      <c r="J30">
        <v>28.2</v>
      </c>
      <c r="K30">
        <v>33.799999999999997</v>
      </c>
      <c r="L30">
        <v>22.7</v>
      </c>
      <c r="M30">
        <v>0.42299999999999999</v>
      </c>
      <c r="N30">
        <v>1.49</v>
      </c>
      <c r="O30">
        <v>10</v>
      </c>
      <c r="P30">
        <v>12.5</v>
      </c>
      <c r="Q30">
        <v>1.7000000000000001E-2</v>
      </c>
    </row>
    <row r="31" spans="1:17">
      <c r="A31">
        <v>30</v>
      </c>
      <c r="B31">
        <v>1.5</v>
      </c>
      <c r="C31" t="s">
        <v>426</v>
      </c>
      <c r="D31">
        <v>6.7000000000000002E-3</v>
      </c>
      <c r="E31">
        <v>1.5E-3</v>
      </c>
      <c r="F31">
        <v>0.1</v>
      </c>
      <c r="G31">
        <v>15</v>
      </c>
      <c r="I31">
        <v>17.100000000000001</v>
      </c>
      <c r="J31">
        <v>35.299999999999997</v>
      </c>
      <c r="K31">
        <v>22.7</v>
      </c>
      <c r="L31">
        <v>13.4</v>
      </c>
      <c r="M31">
        <v>0.77</v>
      </c>
      <c r="N31">
        <v>1.296</v>
      </c>
      <c r="O31">
        <v>11.5</v>
      </c>
      <c r="P31">
        <v>24.5</v>
      </c>
      <c r="Q31">
        <v>1.7000000000000001E-2</v>
      </c>
    </row>
    <row r="32" spans="1:17">
      <c r="A32">
        <v>45</v>
      </c>
      <c r="B32">
        <v>1.5</v>
      </c>
      <c r="C32" t="s">
        <v>426</v>
      </c>
      <c r="D32">
        <v>6.7000000000000002E-3</v>
      </c>
      <c r="E32">
        <v>1.5E-3</v>
      </c>
      <c r="F32">
        <v>0.1</v>
      </c>
      <c r="G32">
        <v>15</v>
      </c>
      <c r="I32">
        <v>17.100000000000001</v>
      </c>
      <c r="J32">
        <v>35.299999999999997</v>
      </c>
      <c r="K32">
        <v>22.7</v>
      </c>
      <c r="L32">
        <v>13.4</v>
      </c>
      <c r="M32">
        <v>0.64</v>
      </c>
      <c r="N32">
        <v>1.4039999999999999</v>
      </c>
      <c r="O32">
        <v>12</v>
      </c>
      <c r="P32">
        <v>24</v>
      </c>
      <c r="Q32">
        <v>1.7000000000000001E-2</v>
      </c>
    </row>
    <row r="33" spans="1:17">
      <c r="A33">
        <v>60</v>
      </c>
      <c r="B33">
        <v>1.5</v>
      </c>
      <c r="C33" t="s">
        <v>426</v>
      </c>
      <c r="D33">
        <v>6.7000000000000002E-3</v>
      </c>
      <c r="E33">
        <v>1.5E-3</v>
      </c>
      <c r="F33">
        <v>0.1</v>
      </c>
      <c r="G33">
        <v>15</v>
      </c>
      <c r="I33">
        <v>17.100000000000001</v>
      </c>
      <c r="J33">
        <v>35.299999999999997</v>
      </c>
      <c r="K33">
        <v>22.7</v>
      </c>
      <c r="L33">
        <v>13.4</v>
      </c>
      <c r="M33">
        <v>0.50600000000000001</v>
      </c>
      <c r="N33">
        <v>1.5</v>
      </c>
      <c r="O33">
        <v>15</v>
      </c>
      <c r="P33">
        <v>23</v>
      </c>
      <c r="Q33">
        <v>1.55E-2</v>
      </c>
    </row>
    <row r="34" spans="1:17">
      <c r="A34">
        <v>70</v>
      </c>
      <c r="B34">
        <v>1.5</v>
      </c>
      <c r="C34" t="s">
        <v>426</v>
      </c>
      <c r="D34">
        <v>6.7000000000000002E-3</v>
      </c>
      <c r="E34">
        <v>1.5E-3</v>
      </c>
      <c r="F34">
        <v>0.1</v>
      </c>
      <c r="G34">
        <v>15</v>
      </c>
      <c r="I34">
        <v>17.100000000000001</v>
      </c>
      <c r="J34">
        <v>35.299999999999997</v>
      </c>
      <c r="K34">
        <v>22.7</v>
      </c>
      <c r="L34">
        <v>13.4</v>
      </c>
      <c r="M34">
        <v>0.35699999999999998</v>
      </c>
      <c r="N34">
        <v>1.6819999999999999</v>
      </c>
      <c r="O34">
        <v>13.5</v>
      </c>
      <c r="P34">
        <v>16</v>
      </c>
      <c r="Q34">
        <v>1.6E-2</v>
      </c>
    </row>
    <row r="35" spans="1:17">
      <c r="A35">
        <v>30</v>
      </c>
      <c r="B35">
        <v>1.5</v>
      </c>
      <c r="C35" t="s">
        <v>427</v>
      </c>
      <c r="D35">
        <v>6.7000000000000002E-3</v>
      </c>
      <c r="E35">
        <v>1.5E-3</v>
      </c>
      <c r="F35">
        <v>0.1</v>
      </c>
      <c r="G35">
        <v>18</v>
      </c>
      <c r="I35">
        <v>20.5</v>
      </c>
      <c r="J35">
        <v>42.2</v>
      </c>
      <c r="K35">
        <v>22.6</v>
      </c>
      <c r="L35">
        <v>14.7</v>
      </c>
      <c r="M35">
        <v>0.75900000000000001</v>
      </c>
      <c r="N35">
        <v>1.3160000000000001</v>
      </c>
      <c r="O35">
        <v>12.5</v>
      </c>
      <c r="P35">
        <v>28.5</v>
      </c>
      <c r="Q35">
        <v>1.7000000000000001E-2</v>
      </c>
    </row>
    <row r="36" spans="1:17">
      <c r="A36">
        <v>45</v>
      </c>
      <c r="B36">
        <v>1.5</v>
      </c>
      <c r="C36" t="s">
        <v>427</v>
      </c>
      <c r="D36">
        <v>6.7000000000000002E-3</v>
      </c>
      <c r="E36">
        <v>1.5E-3</v>
      </c>
      <c r="F36">
        <v>0.1</v>
      </c>
      <c r="G36">
        <v>18</v>
      </c>
      <c r="I36">
        <v>20.5</v>
      </c>
      <c r="J36">
        <v>42.2</v>
      </c>
      <c r="K36">
        <v>22.6</v>
      </c>
      <c r="L36">
        <v>14.7</v>
      </c>
      <c r="M36">
        <v>0.65800000000000003</v>
      </c>
      <c r="N36">
        <v>1.458</v>
      </c>
      <c r="O36">
        <v>16</v>
      </c>
      <c r="P36">
        <v>31</v>
      </c>
      <c r="Q36">
        <v>1.7500000000000002E-2</v>
      </c>
    </row>
    <row r="37" spans="1:17">
      <c r="A37">
        <v>60</v>
      </c>
      <c r="B37">
        <v>1.5</v>
      </c>
      <c r="C37" t="s">
        <v>427</v>
      </c>
      <c r="D37">
        <v>6.7000000000000002E-3</v>
      </c>
      <c r="E37">
        <v>1.5E-3</v>
      </c>
      <c r="F37">
        <v>0.1</v>
      </c>
      <c r="G37">
        <v>18</v>
      </c>
      <c r="I37">
        <v>20.5</v>
      </c>
      <c r="J37">
        <v>42.2</v>
      </c>
      <c r="K37">
        <v>22.6</v>
      </c>
      <c r="L37">
        <v>14.7</v>
      </c>
      <c r="M37">
        <v>0.505</v>
      </c>
      <c r="N37">
        <v>1.603</v>
      </c>
      <c r="O37">
        <v>17</v>
      </c>
      <c r="P37">
        <v>26.5</v>
      </c>
      <c r="Q37">
        <v>1.6500000000000001E-2</v>
      </c>
    </row>
    <row r="38" spans="1:17">
      <c r="A38">
        <v>45</v>
      </c>
      <c r="B38">
        <v>1.5</v>
      </c>
      <c r="C38" t="s">
        <v>428</v>
      </c>
      <c r="D38">
        <v>6.7000000000000002E-3</v>
      </c>
      <c r="E38">
        <v>1.5E-3</v>
      </c>
      <c r="F38">
        <v>0.1</v>
      </c>
      <c r="G38">
        <v>21</v>
      </c>
      <c r="I38">
        <v>23.8</v>
      </c>
      <c r="J38">
        <v>48.9</v>
      </c>
      <c r="K38">
        <v>22.4</v>
      </c>
      <c r="L38">
        <v>14.4</v>
      </c>
      <c r="M38">
        <v>0.66300000000000003</v>
      </c>
      <c r="N38">
        <v>1.5049999999999999</v>
      </c>
      <c r="O38">
        <v>19</v>
      </c>
      <c r="P38">
        <v>36</v>
      </c>
      <c r="Q38">
        <v>1.7999999999999999E-2</v>
      </c>
    </row>
    <row r="39" spans="1:17">
      <c r="A39">
        <v>45</v>
      </c>
      <c r="B39">
        <v>1.5</v>
      </c>
      <c r="C39" t="s">
        <v>429</v>
      </c>
      <c r="D39">
        <v>6.7000000000000002E-3</v>
      </c>
      <c r="E39">
        <v>1.5E-3</v>
      </c>
      <c r="F39">
        <v>0.1</v>
      </c>
      <c r="G39">
        <v>24</v>
      </c>
      <c r="I39">
        <v>27.1</v>
      </c>
      <c r="J39">
        <v>55.5</v>
      </c>
      <c r="K39">
        <v>22.3</v>
      </c>
      <c r="L39">
        <v>14.1</v>
      </c>
      <c r="M39">
        <v>0.66</v>
      </c>
      <c r="N39">
        <v>1.512</v>
      </c>
      <c r="O39">
        <v>21</v>
      </c>
      <c r="P39">
        <v>40</v>
      </c>
      <c r="Q39">
        <v>1.9E-2</v>
      </c>
    </row>
    <row r="40" spans="1:17">
      <c r="A40">
        <v>60</v>
      </c>
      <c r="B40">
        <v>1.5</v>
      </c>
      <c r="C40" t="s">
        <v>429</v>
      </c>
      <c r="D40">
        <v>6.7000000000000002E-3</v>
      </c>
      <c r="E40">
        <v>1.5E-3</v>
      </c>
      <c r="F40">
        <v>0.1</v>
      </c>
      <c r="G40">
        <v>24</v>
      </c>
      <c r="I40">
        <v>27.1</v>
      </c>
      <c r="J40">
        <v>55.5</v>
      </c>
      <c r="K40">
        <v>22.3</v>
      </c>
      <c r="L40">
        <v>14.1</v>
      </c>
      <c r="M40">
        <v>0.52800000000000002</v>
      </c>
      <c r="N40">
        <v>1.758</v>
      </c>
      <c r="O40">
        <v>23</v>
      </c>
      <c r="P40">
        <v>36</v>
      </c>
      <c r="Q40">
        <v>2.5000000000000001E-2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3"/>
  <sheetViews>
    <sheetView workbookViewId="0">
      <selection activeCell="Q3" sqref="Q3"/>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2</v>
      </c>
      <c r="C2" t="s">
        <v>445</v>
      </c>
      <c r="D2">
        <v>2.3999999999999998E-3</v>
      </c>
      <c r="E2">
        <v>0.01</v>
      </c>
      <c r="F2">
        <v>0.06</v>
      </c>
      <c r="G2">
        <v>4</v>
      </c>
      <c r="I2">
        <v>4.5999999999999996</v>
      </c>
      <c r="J2">
        <v>9.5</v>
      </c>
      <c r="K2">
        <v>13.4</v>
      </c>
      <c r="L2">
        <v>5.3</v>
      </c>
      <c r="M2">
        <v>0.38200000000000001</v>
      </c>
      <c r="N2">
        <v>1.22</v>
      </c>
      <c r="O2">
        <v>0</v>
      </c>
      <c r="P2">
        <v>2.5</v>
      </c>
      <c r="Q2">
        <v>1.0999999999999999E-2</v>
      </c>
    </row>
    <row r="3" spans="1:17">
      <c r="A3">
        <v>70</v>
      </c>
      <c r="B3">
        <v>2</v>
      </c>
      <c r="C3" t="s">
        <v>445</v>
      </c>
      <c r="D3">
        <v>2.3999999999999998E-3</v>
      </c>
      <c r="E3">
        <v>0.01</v>
      </c>
      <c r="F3">
        <v>0.06</v>
      </c>
      <c r="G3">
        <v>4</v>
      </c>
      <c r="I3">
        <v>4.5999999999999996</v>
      </c>
      <c r="J3">
        <v>9.5</v>
      </c>
      <c r="K3">
        <v>13.4</v>
      </c>
      <c r="L3">
        <v>5.3</v>
      </c>
      <c r="M3">
        <v>0.26</v>
      </c>
      <c r="N3">
        <v>1.319</v>
      </c>
      <c r="O3">
        <v>2</v>
      </c>
      <c r="P3">
        <v>2</v>
      </c>
      <c r="Q3">
        <v>0.01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5"/>
  <sheetViews>
    <sheetView workbookViewId="0">
      <selection activeCell="Q5" sqref="Q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34"/>
  </sheetPr>
  <dimension ref="A1:IV19"/>
  <sheetViews>
    <sheetView workbookViewId="0"/>
  </sheetViews>
  <sheetFormatPr defaultRowHeight="12.75"/>
  <sheetData>
    <row r="1" spans="1:256">
      <c r="A1" t="str">
        <f>'Data 1'!A1</f>
        <v>Beta1</v>
      </c>
      <c r="B1" t="str">
        <f>'Data 1'!B1</f>
        <v>Solidity</v>
      </c>
      <c r="C1" t="str">
        <f>'Data 1'!C1</f>
        <v>ID</v>
      </c>
      <c r="D1" t="str">
        <f>'Data 1'!D1</f>
        <v>LER/Chord</v>
      </c>
      <c r="E1" t="str">
        <f>'Data 1'!E1</f>
        <v>TER/Chord</v>
      </c>
      <c r="F1" t="str">
        <f>'Data 1'!F1</f>
        <v>Tmax/C</v>
      </c>
      <c r="G1" t="str">
        <f>'Data 1'!G1</f>
        <v>65_Camber</v>
      </c>
      <c r="H1" t="str">
        <f>'Data 1'!H1</f>
        <v>Dum</v>
      </c>
      <c r="I1" t="str">
        <f>'Data 1'!I1</f>
        <v>MCL B1*-AlphaChord</v>
      </c>
      <c r="J1" t="str">
        <f>'Data 1'!J1</f>
        <v>Camber_MCL</v>
      </c>
      <c r="K1" t="str">
        <f>'Data 1'!K1</f>
        <v>LE_Wedge_Angle</v>
      </c>
      <c r="L1" t="str">
        <f>'Data 1'!L1</f>
        <v>TE_Wedge_Angle</v>
      </c>
      <c r="M1" t="str">
        <f>'Data 1'!M1</f>
        <v>O_q_Tau</v>
      </c>
      <c r="N1" t="str">
        <f>'Data 1'!N1</f>
        <v>TE_O_q_Min_O</v>
      </c>
      <c r="O1" t="str">
        <f>'Data 1'!O1</f>
        <v>Attack_Angle</v>
      </c>
      <c r="P1" t="str">
        <f>'Data 1'!P1</f>
        <v>Turning</v>
      </c>
      <c r="Q1" t="str">
        <f>'Data 1'!Q1</f>
        <v>Ave_Min_Loss</v>
      </c>
      <c r="R1">
        <f>'Data 1'!R1</f>
        <v>0</v>
      </c>
      <c r="S1">
        <f>'Data 1'!S1</f>
        <v>0</v>
      </c>
      <c r="T1">
        <f>'Data 1'!T1</f>
        <v>0</v>
      </c>
      <c r="U1">
        <f>'Data 1'!U1</f>
        <v>0</v>
      </c>
      <c r="V1">
        <f>'Data 1'!V1</f>
        <v>0</v>
      </c>
      <c r="W1">
        <f>'Data 1'!W1</f>
        <v>0</v>
      </c>
      <c r="X1">
        <f>'Data 1'!X1</f>
        <v>0</v>
      </c>
      <c r="Y1">
        <f>'Data 1'!Y1</f>
        <v>0</v>
      </c>
      <c r="Z1">
        <f>'Data 1'!Z1</f>
        <v>0</v>
      </c>
      <c r="AA1">
        <f>'Data 1'!AA1</f>
        <v>0</v>
      </c>
      <c r="AB1">
        <f>'Data 1'!AB1</f>
        <v>0</v>
      </c>
      <c r="AC1">
        <f>'Data 1'!AC1</f>
        <v>0</v>
      </c>
      <c r="AD1">
        <f>'Data 1'!AD1</f>
        <v>0</v>
      </c>
      <c r="AE1">
        <f>'Data 1'!AE1</f>
        <v>0</v>
      </c>
      <c r="AF1">
        <f>'Data 1'!AF1</f>
        <v>0</v>
      </c>
      <c r="AG1">
        <f>'Data 1'!AG1</f>
        <v>0</v>
      </c>
      <c r="AH1">
        <f>'Data 1'!AH1</f>
        <v>0</v>
      </c>
      <c r="AI1">
        <f>'Data 1'!AI1</f>
        <v>0</v>
      </c>
      <c r="AJ1">
        <f>'Data 1'!AJ1</f>
        <v>0</v>
      </c>
      <c r="AK1">
        <f>'Data 1'!AK1</f>
        <v>0</v>
      </c>
      <c r="AL1">
        <f>'Data 1'!AL1</f>
        <v>0</v>
      </c>
      <c r="AM1">
        <f>'Data 1'!AM1</f>
        <v>0</v>
      </c>
      <c r="AN1">
        <f>'Data 1'!AN1</f>
        <v>0</v>
      </c>
      <c r="AO1">
        <f>'Data 1'!AO1</f>
        <v>0</v>
      </c>
      <c r="AP1">
        <f>'Data 1'!AP1</f>
        <v>0</v>
      </c>
      <c r="AQ1">
        <f>'Data 1'!AQ1</f>
        <v>0</v>
      </c>
      <c r="AR1">
        <f>'Data 1'!AR1</f>
        <v>0</v>
      </c>
      <c r="AS1">
        <f>'Data 1'!AS1</f>
        <v>0</v>
      </c>
      <c r="AT1">
        <f>'Data 1'!AT1</f>
        <v>0</v>
      </c>
      <c r="AU1">
        <f>'Data 1'!AU1</f>
        <v>0</v>
      </c>
      <c r="AV1">
        <f>'Data 1'!AV1</f>
        <v>0</v>
      </c>
      <c r="AW1">
        <f>'Data 1'!AW1</f>
        <v>0</v>
      </c>
      <c r="AX1">
        <f>'Data 1'!AX1</f>
        <v>0</v>
      </c>
      <c r="AY1">
        <f>'Data 1'!AY1</f>
        <v>0</v>
      </c>
      <c r="AZ1">
        <f>'Data 1'!AZ1</f>
        <v>0</v>
      </c>
      <c r="BA1">
        <f>'Data 1'!BA1</f>
        <v>0</v>
      </c>
      <c r="BB1">
        <f>'Data 1'!BB1</f>
        <v>0</v>
      </c>
      <c r="BC1">
        <f>'Data 1'!BC1</f>
        <v>0</v>
      </c>
      <c r="BD1">
        <f>'Data 1'!BD1</f>
        <v>0</v>
      </c>
      <c r="BE1">
        <f>'Data 1'!BE1</f>
        <v>0</v>
      </c>
      <c r="BF1">
        <f>'Data 1'!BF1</f>
        <v>0</v>
      </c>
      <c r="BG1">
        <f>'Data 1'!BG1</f>
        <v>0</v>
      </c>
      <c r="BH1">
        <f>'Data 1'!BH1</f>
        <v>0</v>
      </c>
      <c r="BI1">
        <f>'Data 1'!BI1</f>
        <v>0</v>
      </c>
      <c r="BJ1">
        <f>'Data 1'!BJ1</f>
        <v>0</v>
      </c>
      <c r="BK1">
        <f>'Data 1'!BK1</f>
        <v>0</v>
      </c>
      <c r="BL1">
        <f>'Data 1'!BL1</f>
        <v>0</v>
      </c>
      <c r="BM1">
        <f>'Data 1'!BM1</f>
        <v>0</v>
      </c>
      <c r="BN1">
        <f>'Data 1'!BN1</f>
        <v>0</v>
      </c>
      <c r="BO1">
        <f>'Data 1'!BO1</f>
        <v>0</v>
      </c>
      <c r="BP1">
        <f>'Data 1'!BP1</f>
        <v>0</v>
      </c>
      <c r="BQ1">
        <f>'Data 1'!BQ1</f>
        <v>0</v>
      </c>
      <c r="BR1">
        <f>'Data 1'!BR1</f>
        <v>0</v>
      </c>
      <c r="BS1">
        <f>'Data 1'!BS1</f>
        <v>0</v>
      </c>
      <c r="BT1">
        <f>'Data 1'!BT1</f>
        <v>0</v>
      </c>
      <c r="BU1">
        <f>'Data 1'!BU1</f>
        <v>0</v>
      </c>
      <c r="BV1">
        <f>'Data 1'!BV1</f>
        <v>0</v>
      </c>
      <c r="BW1">
        <f>'Data 1'!BW1</f>
        <v>0</v>
      </c>
      <c r="BX1">
        <f>'Data 1'!BX1</f>
        <v>0</v>
      </c>
      <c r="BY1">
        <f>'Data 1'!BY1</f>
        <v>0</v>
      </c>
      <c r="BZ1">
        <f>'Data 1'!BZ1</f>
        <v>0</v>
      </c>
      <c r="CA1">
        <f>'Data 1'!CA1</f>
        <v>0</v>
      </c>
      <c r="CB1">
        <f>'Data 1'!CB1</f>
        <v>0</v>
      </c>
      <c r="CC1">
        <f>'Data 1'!CC1</f>
        <v>0</v>
      </c>
      <c r="CD1">
        <f>'Data 1'!CD1</f>
        <v>0</v>
      </c>
      <c r="CE1">
        <f>'Data 1'!CE1</f>
        <v>0</v>
      </c>
      <c r="CF1">
        <f>'Data 1'!CF1</f>
        <v>0</v>
      </c>
      <c r="CG1">
        <f>'Data 1'!CG1</f>
        <v>0</v>
      </c>
      <c r="CH1">
        <f>'Data 1'!CH1</f>
        <v>0</v>
      </c>
      <c r="CI1">
        <f>'Data 1'!CI1</f>
        <v>0</v>
      </c>
      <c r="CJ1">
        <f>'Data 1'!CJ1</f>
        <v>0</v>
      </c>
      <c r="CK1">
        <f>'Data 1'!CK1</f>
        <v>0</v>
      </c>
      <c r="CL1">
        <f>'Data 1'!CL1</f>
        <v>0</v>
      </c>
      <c r="CM1">
        <f>'Data 1'!CM1</f>
        <v>0</v>
      </c>
      <c r="CN1">
        <f>'Data 1'!CN1</f>
        <v>0</v>
      </c>
      <c r="CO1">
        <f>'Data 1'!CO1</f>
        <v>0</v>
      </c>
      <c r="CP1">
        <f>'Data 1'!CP1</f>
        <v>0</v>
      </c>
      <c r="CQ1">
        <f>'Data 1'!CQ1</f>
        <v>0</v>
      </c>
      <c r="CR1">
        <f>'Data 1'!CR1</f>
        <v>0</v>
      </c>
      <c r="CS1">
        <f>'Data 1'!CS1</f>
        <v>0</v>
      </c>
      <c r="CT1">
        <f>'Data 1'!CT1</f>
        <v>0</v>
      </c>
      <c r="CU1">
        <f>'Data 1'!CU1</f>
        <v>0</v>
      </c>
      <c r="CV1">
        <f>'Data 1'!CV1</f>
        <v>0</v>
      </c>
      <c r="CW1">
        <f>'Data 1'!CW1</f>
        <v>0</v>
      </c>
      <c r="CX1">
        <f>'Data 1'!CX1</f>
        <v>0</v>
      </c>
      <c r="CY1">
        <f>'Data 1'!CY1</f>
        <v>0</v>
      </c>
      <c r="CZ1">
        <f>'Data 1'!CZ1</f>
        <v>0</v>
      </c>
      <c r="DA1">
        <f>'Data 1'!DA1</f>
        <v>0</v>
      </c>
      <c r="DB1">
        <f>'Data 1'!DB1</f>
        <v>0</v>
      </c>
      <c r="DC1">
        <f>'Data 1'!DC1</f>
        <v>0</v>
      </c>
      <c r="DD1">
        <f>'Data 1'!DD1</f>
        <v>0</v>
      </c>
      <c r="DE1">
        <f>'Data 1'!DE1</f>
        <v>0</v>
      </c>
      <c r="DF1">
        <f>'Data 1'!DF1</f>
        <v>0</v>
      </c>
      <c r="DG1">
        <f>'Data 1'!DG1</f>
        <v>0</v>
      </c>
      <c r="DH1">
        <f>'Data 1'!DH1</f>
        <v>0</v>
      </c>
      <c r="DI1">
        <f>'Data 1'!DI1</f>
        <v>0</v>
      </c>
      <c r="DJ1">
        <f>'Data 1'!DJ1</f>
        <v>0</v>
      </c>
      <c r="DK1">
        <f>'Data 1'!DK1</f>
        <v>0</v>
      </c>
      <c r="DL1">
        <f>'Data 1'!DL1</f>
        <v>0</v>
      </c>
      <c r="DM1">
        <f>'Data 1'!DM1</f>
        <v>0</v>
      </c>
      <c r="DN1">
        <f>'Data 1'!DN1</f>
        <v>0</v>
      </c>
      <c r="DO1">
        <f>'Data 1'!DO1</f>
        <v>0</v>
      </c>
      <c r="DP1">
        <f>'Data 1'!DP1</f>
        <v>0</v>
      </c>
      <c r="DQ1">
        <f>'Data 1'!DQ1</f>
        <v>0</v>
      </c>
      <c r="DR1">
        <f>'Data 1'!DR1</f>
        <v>0</v>
      </c>
      <c r="DS1">
        <f>'Data 1'!DS1</f>
        <v>0</v>
      </c>
      <c r="DT1">
        <f>'Data 1'!DT1</f>
        <v>0</v>
      </c>
      <c r="DU1">
        <f>'Data 1'!DU1</f>
        <v>0</v>
      </c>
      <c r="DV1">
        <f>'Data 1'!DV1</f>
        <v>0</v>
      </c>
      <c r="DW1">
        <f>'Data 1'!DW1</f>
        <v>0</v>
      </c>
      <c r="DX1">
        <f>'Data 1'!DX1</f>
        <v>0</v>
      </c>
      <c r="DY1">
        <f>'Data 1'!DY1</f>
        <v>0</v>
      </c>
      <c r="DZ1">
        <f>'Data 1'!DZ1</f>
        <v>0</v>
      </c>
      <c r="EA1">
        <f>'Data 1'!EA1</f>
        <v>0</v>
      </c>
      <c r="EB1">
        <f>'Data 1'!EB1</f>
        <v>0</v>
      </c>
      <c r="EC1">
        <f>'Data 1'!EC1</f>
        <v>0</v>
      </c>
      <c r="ED1">
        <f>'Data 1'!ED1</f>
        <v>0</v>
      </c>
      <c r="EE1">
        <f>'Data 1'!EE1</f>
        <v>0</v>
      </c>
      <c r="EF1">
        <f>'Data 1'!EF1</f>
        <v>0</v>
      </c>
      <c r="EG1">
        <f>'Data 1'!EG1</f>
        <v>0</v>
      </c>
      <c r="EH1">
        <f>'Data 1'!EH1</f>
        <v>0</v>
      </c>
      <c r="EI1">
        <f>'Data 1'!EI1</f>
        <v>0</v>
      </c>
      <c r="EJ1">
        <f>'Data 1'!EJ1</f>
        <v>0</v>
      </c>
      <c r="EK1">
        <f>'Data 1'!EK1</f>
        <v>0</v>
      </c>
      <c r="EL1">
        <f>'Data 1'!EL1</f>
        <v>0</v>
      </c>
      <c r="EM1">
        <f>'Data 1'!EM1</f>
        <v>0</v>
      </c>
      <c r="EN1">
        <f>'Data 1'!EN1</f>
        <v>0</v>
      </c>
      <c r="EO1">
        <f>'Data 1'!EO1</f>
        <v>0</v>
      </c>
      <c r="EP1">
        <f>'Data 1'!EP1</f>
        <v>0</v>
      </c>
      <c r="EQ1">
        <f>'Data 1'!EQ1</f>
        <v>0</v>
      </c>
      <c r="ER1">
        <f>'Data 1'!ER1</f>
        <v>0</v>
      </c>
      <c r="ES1">
        <f>'Data 1'!ES1</f>
        <v>0</v>
      </c>
      <c r="ET1">
        <f>'Data 1'!ET1</f>
        <v>0</v>
      </c>
      <c r="EU1">
        <f>'Data 1'!EU1</f>
        <v>0</v>
      </c>
      <c r="EV1">
        <f>'Data 1'!EV1</f>
        <v>0</v>
      </c>
      <c r="EW1">
        <f>'Data 1'!EW1</f>
        <v>0</v>
      </c>
      <c r="EX1">
        <f>'Data 1'!EX1</f>
        <v>0</v>
      </c>
      <c r="EY1">
        <f>'Data 1'!EY1</f>
        <v>0</v>
      </c>
      <c r="EZ1">
        <f>'Data 1'!EZ1</f>
        <v>0</v>
      </c>
      <c r="FA1">
        <f>'Data 1'!FA1</f>
        <v>0</v>
      </c>
      <c r="FB1">
        <f>'Data 1'!FB1</f>
        <v>0</v>
      </c>
      <c r="FC1">
        <f>'Data 1'!FC1</f>
        <v>0</v>
      </c>
      <c r="FD1">
        <f>'Data 1'!FD1</f>
        <v>0</v>
      </c>
      <c r="FE1">
        <f>'Data 1'!FE1</f>
        <v>0</v>
      </c>
      <c r="FF1">
        <f>'Data 1'!FF1</f>
        <v>0</v>
      </c>
      <c r="FG1">
        <f>'Data 1'!FG1</f>
        <v>0</v>
      </c>
      <c r="FH1">
        <f>'Data 1'!FH1</f>
        <v>0</v>
      </c>
      <c r="FI1">
        <f>'Data 1'!FI1</f>
        <v>0</v>
      </c>
      <c r="FJ1">
        <f>'Data 1'!FJ1</f>
        <v>0</v>
      </c>
      <c r="FK1">
        <f>'Data 1'!FK1</f>
        <v>0</v>
      </c>
      <c r="FL1">
        <f>'Data 1'!FL1</f>
        <v>0</v>
      </c>
      <c r="FM1">
        <f>'Data 1'!FM1</f>
        <v>0</v>
      </c>
      <c r="FN1">
        <f>'Data 1'!FN1</f>
        <v>0</v>
      </c>
      <c r="FO1">
        <f>'Data 1'!FO1</f>
        <v>0</v>
      </c>
      <c r="FP1">
        <f>'Data 1'!FP1</f>
        <v>0</v>
      </c>
      <c r="FQ1">
        <f>'Data 1'!FQ1</f>
        <v>0</v>
      </c>
      <c r="FR1">
        <f>'Data 1'!FR1</f>
        <v>0</v>
      </c>
      <c r="FS1">
        <f>'Data 1'!FS1</f>
        <v>0</v>
      </c>
      <c r="FT1">
        <f>'Data 1'!FT1</f>
        <v>0</v>
      </c>
      <c r="FU1">
        <f>'Data 1'!FU1</f>
        <v>0</v>
      </c>
      <c r="FV1">
        <f>'Data 1'!FV1</f>
        <v>0</v>
      </c>
      <c r="FW1">
        <f>'Data 1'!FW1</f>
        <v>0</v>
      </c>
      <c r="FX1">
        <f>'Data 1'!FX1</f>
        <v>0</v>
      </c>
      <c r="FY1">
        <f>'Data 1'!FY1</f>
        <v>0</v>
      </c>
      <c r="FZ1">
        <f>'Data 1'!FZ1</f>
        <v>0</v>
      </c>
      <c r="GA1">
        <f>'Data 1'!GA1</f>
        <v>0</v>
      </c>
      <c r="GB1">
        <f>'Data 1'!GB1</f>
        <v>0</v>
      </c>
      <c r="GC1">
        <f>'Data 1'!GC1</f>
        <v>0</v>
      </c>
      <c r="GD1">
        <f>'Data 1'!GD1</f>
        <v>0</v>
      </c>
      <c r="GE1">
        <f>'Data 1'!GE1</f>
        <v>0</v>
      </c>
      <c r="GF1">
        <f>'Data 1'!GF1</f>
        <v>0</v>
      </c>
      <c r="GG1">
        <f>'Data 1'!GG1</f>
        <v>0</v>
      </c>
      <c r="GH1">
        <f>'Data 1'!GH1</f>
        <v>0</v>
      </c>
      <c r="GI1">
        <f>'Data 1'!GI1</f>
        <v>0</v>
      </c>
      <c r="GJ1">
        <f>'Data 1'!GJ1</f>
        <v>0</v>
      </c>
      <c r="GK1">
        <f>'Data 1'!GK1</f>
        <v>0</v>
      </c>
      <c r="GL1">
        <f>'Data 1'!GL1</f>
        <v>0</v>
      </c>
      <c r="GM1">
        <f>'Data 1'!GM1</f>
        <v>0</v>
      </c>
      <c r="GN1">
        <f>'Data 1'!GN1</f>
        <v>0</v>
      </c>
      <c r="GO1">
        <f>'Data 1'!GO1</f>
        <v>0</v>
      </c>
      <c r="GP1">
        <f>'Data 1'!GP1</f>
        <v>0</v>
      </c>
      <c r="GQ1">
        <f>'Data 1'!GQ1</f>
        <v>0</v>
      </c>
      <c r="GR1">
        <f>'Data 1'!GR1</f>
        <v>0</v>
      </c>
      <c r="GS1">
        <f>'Data 1'!GS1</f>
        <v>0</v>
      </c>
      <c r="GT1">
        <f>'Data 1'!GT1</f>
        <v>0</v>
      </c>
      <c r="GU1">
        <f>'Data 1'!GU1</f>
        <v>0</v>
      </c>
      <c r="GV1">
        <f>'Data 1'!GV1</f>
        <v>0</v>
      </c>
      <c r="GW1">
        <f>'Data 1'!GW1</f>
        <v>0</v>
      </c>
      <c r="GX1">
        <f>'Data 1'!GX1</f>
        <v>0</v>
      </c>
      <c r="GY1">
        <f>'Data 1'!GY1</f>
        <v>0</v>
      </c>
      <c r="GZ1">
        <f>'Data 1'!GZ1</f>
        <v>0</v>
      </c>
      <c r="HA1">
        <f>'Data 1'!HA1</f>
        <v>0</v>
      </c>
      <c r="HB1">
        <f>'Data 1'!HB1</f>
        <v>0</v>
      </c>
      <c r="HC1">
        <f>'Data 1'!HC1</f>
        <v>0</v>
      </c>
      <c r="HD1">
        <f>'Data 1'!HD1</f>
        <v>0</v>
      </c>
      <c r="HE1">
        <f>'Data 1'!HE1</f>
        <v>0</v>
      </c>
      <c r="HF1">
        <f>'Data 1'!HF1</f>
        <v>0</v>
      </c>
      <c r="HG1">
        <f>'Data 1'!HG1</f>
        <v>0</v>
      </c>
      <c r="HH1">
        <f>'Data 1'!HH1</f>
        <v>0</v>
      </c>
      <c r="HI1">
        <f>'Data 1'!HI1</f>
        <v>0</v>
      </c>
      <c r="HJ1">
        <f>'Data 1'!HJ1</f>
        <v>0</v>
      </c>
      <c r="HK1">
        <f>'Data 1'!HK1</f>
        <v>0</v>
      </c>
      <c r="HL1">
        <f>'Data 1'!HL1</f>
        <v>0</v>
      </c>
      <c r="HM1">
        <f>'Data 1'!HM1</f>
        <v>0</v>
      </c>
      <c r="HN1">
        <f>'Data 1'!HN1</f>
        <v>0</v>
      </c>
      <c r="HO1">
        <f>'Data 1'!HO1</f>
        <v>0</v>
      </c>
      <c r="HP1">
        <f>'Data 1'!HP1</f>
        <v>0</v>
      </c>
      <c r="HQ1">
        <f>'Data 1'!HQ1</f>
        <v>0</v>
      </c>
      <c r="HR1">
        <f>'Data 1'!HR1</f>
        <v>0</v>
      </c>
      <c r="HS1">
        <f>'Data 1'!HS1</f>
        <v>0</v>
      </c>
      <c r="HT1">
        <f>'Data 1'!HT1</f>
        <v>0</v>
      </c>
      <c r="HU1">
        <f>'Data 1'!HU1</f>
        <v>0</v>
      </c>
      <c r="HV1">
        <f>'Data 1'!HV1</f>
        <v>0</v>
      </c>
      <c r="HW1">
        <f>'Data 1'!HW1</f>
        <v>0</v>
      </c>
      <c r="HX1">
        <f>'Data 1'!HX1</f>
        <v>0</v>
      </c>
      <c r="HY1">
        <f>'Data 1'!HY1</f>
        <v>0</v>
      </c>
      <c r="HZ1">
        <f>'Data 1'!HZ1</f>
        <v>0</v>
      </c>
      <c r="IA1">
        <f>'Data 1'!IA1</f>
        <v>0</v>
      </c>
      <c r="IB1">
        <f>'Data 1'!IB1</f>
        <v>0</v>
      </c>
      <c r="IC1">
        <f>'Data 1'!IC1</f>
        <v>0</v>
      </c>
      <c r="ID1">
        <f>'Data 1'!ID1</f>
        <v>0</v>
      </c>
      <c r="IE1">
        <f>'Data 1'!IE1</f>
        <v>0</v>
      </c>
      <c r="IF1">
        <f>'Data 1'!IF1</f>
        <v>0</v>
      </c>
      <c r="IG1">
        <f>'Data 1'!IG1</f>
        <v>0</v>
      </c>
      <c r="IH1">
        <f>'Data 1'!IH1</f>
        <v>0</v>
      </c>
      <c r="II1">
        <f>'Data 1'!II1</f>
        <v>0</v>
      </c>
      <c r="IJ1">
        <f>'Data 1'!IJ1</f>
        <v>0</v>
      </c>
      <c r="IK1">
        <f>'Data 1'!IK1</f>
        <v>0</v>
      </c>
      <c r="IL1">
        <f>'Data 1'!IL1</f>
        <v>0</v>
      </c>
      <c r="IM1">
        <f>'Data 1'!IM1</f>
        <v>0</v>
      </c>
      <c r="IN1">
        <f>'Data 1'!IN1</f>
        <v>0</v>
      </c>
      <c r="IO1">
        <f>'Data 1'!IO1</f>
        <v>0</v>
      </c>
      <c r="IP1">
        <f>'Data 1'!IP1</f>
        <v>0</v>
      </c>
      <c r="IQ1">
        <f>'Data 1'!IQ1</f>
        <v>0</v>
      </c>
      <c r="IR1">
        <f>'Data 1'!IR1</f>
        <v>0</v>
      </c>
      <c r="IS1">
        <f>'Data 1'!IS1</f>
        <v>0</v>
      </c>
      <c r="IT1">
        <f>'Data 1'!IT1</f>
        <v>0</v>
      </c>
      <c r="IU1">
        <f>'Data 1'!IU1</f>
        <v>0</v>
      </c>
      <c r="IV1">
        <f>'Data 1'!IV1</f>
        <v>0</v>
      </c>
    </row>
    <row r="2" spans="1:256">
      <c r="A2">
        <f ca="1">INDIRECT("'Data 1'!A"&amp;IF('Plot Layout'!B10="",2,'Plot Layout'!B10+1))</f>
        <v>70</v>
      </c>
      <c r="B2">
        <f ca="1">INDIRECT("'Data 1'!B"&amp;IF('Plot Layout'!B10="",2,'Plot Layout'!B10+1))</f>
        <v>0.75</v>
      </c>
      <c r="C2" t="str">
        <f ca="1">INDIRECT("'Data 1'!C"&amp;IF('Plot Layout'!B10="",2,'Plot Layout'!B10+1))</f>
        <v>65-406 1% TER</v>
      </c>
      <c r="D2">
        <f ca="1">INDIRECT("'Data 1'!D"&amp;IF('Plot Layout'!B10="",2,'Plot Layout'!B10+1))</f>
        <v>2.3999999999999998E-3</v>
      </c>
      <c r="E2">
        <f ca="1">INDIRECT("'Data 1'!E"&amp;IF('Plot Layout'!B10="",2,'Plot Layout'!B10+1))</f>
        <v>0.01</v>
      </c>
      <c r="F2">
        <f ca="1">INDIRECT("'Data 1'!F"&amp;IF('Plot Layout'!B10="",2,'Plot Layout'!B10+1))</f>
        <v>0.06</v>
      </c>
      <c r="G2">
        <f ca="1">INDIRECT("'Data 1'!G"&amp;IF('Plot Layout'!B10="",2,'Plot Layout'!B10+1))</f>
        <v>4</v>
      </c>
      <c r="H2">
        <f ca="1">INDIRECT("'Data 1'!H"&amp;IF('Plot Layout'!B10="",2,'Plot Layout'!B10+1))</f>
        <v>0</v>
      </c>
      <c r="I2">
        <f ca="1">INDIRECT("'Data 1'!I"&amp;IF('Plot Layout'!B10="",2,'Plot Layout'!B10+1))</f>
        <v>4.5999999999999996</v>
      </c>
      <c r="J2">
        <f ca="1">INDIRECT("'Data 1'!J"&amp;IF('Plot Layout'!B10="",2,'Plot Layout'!B10+1))</f>
        <v>9.5</v>
      </c>
      <c r="K2">
        <f ca="1">INDIRECT("'Data 1'!K"&amp;IF('Plot Layout'!B10="",2,'Plot Layout'!B10+1))</f>
        <v>13.4</v>
      </c>
      <c r="L2">
        <f ca="1">INDIRECT("'Data 1'!L"&amp;IF('Plot Layout'!B10="",2,'Plot Layout'!B10+1))</f>
        <v>5.3</v>
      </c>
      <c r="M2">
        <f ca="1">INDIRECT("'Data 1'!M"&amp;IF('Plot Layout'!B10="",2,'Plot Layout'!B10+1))</f>
        <v>0.36899999999999999</v>
      </c>
      <c r="N2">
        <f ca="1">INDIRECT("'Data 1'!N"&amp;IF('Plot Layout'!B10="",2,'Plot Layout'!B10+1))</f>
        <v>1.0009999999999999</v>
      </c>
      <c r="O2">
        <f ca="1">INDIRECT("'Data 1'!O"&amp;IF('Plot Layout'!B10="",2,'Plot Layout'!B10+1))</f>
        <v>-1.5</v>
      </c>
      <c r="P2">
        <f ca="1">INDIRECT("'Data 1'!P"&amp;IF('Plot Layout'!B10="",2,'Plot Layout'!B10+1))</f>
        <v>0.5</v>
      </c>
      <c r="Q2">
        <f ca="1">INDIRECT("'Data 1'!Q"&amp;IF('Plot Layout'!B10="",2,'Plot Layout'!B10+1))</f>
        <v>8.9999999999999993E-3</v>
      </c>
      <c r="R2">
        <f ca="1">INDIRECT("'Data 1'!R"&amp;IF('Plot Layout'!B10="",2,'Plot Layout'!B10+1))</f>
        <v>0</v>
      </c>
      <c r="S2">
        <f ca="1">INDIRECT("'Data 1'!S"&amp;IF('Plot Layout'!B10="",2,'Plot Layout'!B10+1))</f>
        <v>0</v>
      </c>
      <c r="T2">
        <f ca="1">INDIRECT("'Data 1'!T"&amp;IF('Plot Layout'!B10="",2,'Plot Layout'!B10+1))</f>
        <v>0</v>
      </c>
      <c r="U2">
        <f ca="1">INDIRECT("'Data 1'!U"&amp;IF('Plot Layout'!B10="",2,'Plot Layout'!B10+1))</f>
        <v>0</v>
      </c>
      <c r="V2">
        <f ca="1">INDIRECT("'Data 1'!V"&amp;IF('Plot Layout'!B10="",2,'Plot Layout'!B10+1))</f>
        <v>0</v>
      </c>
      <c r="W2">
        <f ca="1">INDIRECT("'Data 1'!W"&amp;IF('Plot Layout'!B10="",2,'Plot Layout'!B10+1))</f>
        <v>0</v>
      </c>
      <c r="X2">
        <f ca="1">INDIRECT("'Data 1'!X"&amp;IF('Plot Layout'!B10="",2,'Plot Layout'!B10+1))</f>
        <v>0</v>
      </c>
      <c r="Y2">
        <f ca="1">INDIRECT("'Data 1'!Y"&amp;IF('Plot Layout'!B10="",2,'Plot Layout'!B10+1))</f>
        <v>0</v>
      </c>
      <c r="Z2">
        <f ca="1">INDIRECT("'Data 1'!Z"&amp;IF('Plot Layout'!B10="",2,'Plot Layout'!B10+1))</f>
        <v>0</v>
      </c>
      <c r="AA2">
        <f ca="1">INDIRECT("'Data 1'!AA"&amp;IF('Plot Layout'!B10="",2,'Plot Layout'!B10+1))</f>
        <v>0</v>
      </c>
      <c r="AB2">
        <f ca="1">INDIRECT("'Data 1'!AB"&amp;IF('Plot Layout'!B10="",2,'Plot Layout'!B10+1))</f>
        <v>0</v>
      </c>
      <c r="AC2">
        <f ca="1">INDIRECT("'Data 1'!AC"&amp;IF('Plot Layout'!B10="",2,'Plot Layout'!B10+1))</f>
        <v>0</v>
      </c>
      <c r="AD2">
        <f ca="1">INDIRECT("'Data 1'!AD"&amp;IF('Plot Layout'!B10="",2,'Plot Layout'!B10+1))</f>
        <v>0</v>
      </c>
      <c r="AE2">
        <f ca="1">INDIRECT("'Data 1'!AE"&amp;IF('Plot Layout'!B10="",2,'Plot Layout'!B10+1))</f>
        <v>0</v>
      </c>
      <c r="AF2">
        <f ca="1">INDIRECT("'Data 1'!AF"&amp;IF('Plot Layout'!B10="",2,'Plot Layout'!B10+1))</f>
        <v>0</v>
      </c>
      <c r="AG2">
        <f ca="1">INDIRECT("'Data 1'!AG"&amp;IF('Plot Layout'!B10="",2,'Plot Layout'!B10+1))</f>
        <v>0</v>
      </c>
      <c r="AH2">
        <f ca="1">INDIRECT("'Data 1'!AH"&amp;IF('Plot Layout'!B10="",2,'Plot Layout'!B10+1))</f>
        <v>0</v>
      </c>
      <c r="AI2">
        <f ca="1">INDIRECT("'Data 1'!AI"&amp;IF('Plot Layout'!B10="",2,'Plot Layout'!B10+1))</f>
        <v>0</v>
      </c>
      <c r="AJ2">
        <f ca="1">INDIRECT("'Data 1'!AJ"&amp;IF('Plot Layout'!B10="",2,'Plot Layout'!B10+1))</f>
        <v>0</v>
      </c>
      <c r="AK2">
        <f ca="1">INDIRECT("'Data 1'!AK"&amp;IF('Plot Layout'!B10="",2,'Plot Layout'!B10+1))</f>
        <v>0</v>
      </c>
      <c r="AL2">
        <f ca="1">INDIRECT("'Data 1'!AL"&amp;IF('Plot Layout'!B10="",2,'Plot Layout'!B10+1))</f>
        <v>0</v>
      </c>
      <c r="AM2">
        <f ca="1">INDIRECT("'Data 1'!AM"&amp;IF('Plot Layout'!B10="",2,'Plot Layout'!B10+1))</f>
        <v>0</v>
      </c>
      <c r="AN2">
        <f ca="1">INDIRECT("'Data 1'!AN"&amp;IF('Plot Layout'!B10="",2,'Plot Layout'!B10+1))</f>
        <v>0</v>
      </c>
      <c r="AO2">
        <f ca="1">INDIRECT("'Data 1'!AO"&amp;IF('Plot Layout'!B10="",2,'Plot Layout'!B10+1))</f>
        <v>0</v>
      </c>
      <c r="AP2">
        <f ca="1">INDIRECT("'Data 1'!AP"&amp;IF('Plot Layout'!B10="",2,'Plot Layout'!B10+1))</f>
        <v>0</v>
      </c>
      <c r="AQ2">
        <f ca="1">INDIRECT("'Data 1'!AQ"&amp;IF('Plot Layout'!B10="",2,'Plot Layout'!B10+1))</f>
        <v>0</v>
      </c>
      <c r="AR2">
        <f ca="1">INDIRECT("'Data 1'!AR"&amp;IF('Plot Layout'!B10="",2,'Plot Layout'!B10+1))</f>
        <v>0</v>
      </c>
      <c r="AS2">
        <f ca="1">INDIRECT("'Data 1'!AS"&amp;IF('Plot Layout'!B10="",2,'Plot Layout'!B10+1))</f>
        <v>0</v>
      </c>
      <c r="AT2">
        <f ca="1">INDIRECT("'Data 1'!AT"&amp;IF('Plot Layout'!B10="",2,'Plot Layout'!B10+1))</f>
        <v>0</v>
      </c>
      <c r="AU2">
        <f ca="1">INDIRECT("'Data 1'!AU"&amp;IF('Plot Layout'!B10="",2,'Plot Layout'!B10+1))</f>
        <v>0</v>
      </c>
      <c r="AV2">
        <f ca="1">INDIRECT("'Data 1'!AV"&amp;IF('Plot Layout'!B10="",2,'Plot Layout'!B10+1))</f>
        <v>0</v>
      </c>
      <c r="AW2">
        <f ca="1">INDIRECT("'Data 1'!AW"&amp;IF('Plot Layout'!B10="",2,'Plot Layout'!B10+1))</f>
        <v>0</v>
      </c>
      <c r="AX2">
        <f ca="1">INDIRECT("'Data 1'!AX"&amp;IF('Plot Layout'!B10="",2,'Plot Layout'!B10+1))</f>
        <v>0</v>
      </c>
      <c r="AY2">
        <f ca="1">INDIRECT("'Data 1'!AY"&amp;IF('Plot Layout'!B10="",2,'Plot Layout'!B10+1))</f>
        <v>0</v>
      </c>
      <c r="AZ2">
        <f ca="1">INDIRECT("'Data 1'!AZ"&amp;IF('Plot Layout'!B10="",2,'Plot Layout'!B10+1))</f>
        <v>0</v>
      </c>
      <c r="BA2">
        <f ca="1">INDIRECT("'Data 1'!BA"&amp;IF('Plot Layout'!B10="",2,'Plot Layout'!B10+1))</f>
        <v>0</v>
      </c>
      <c r="BB2">
        <f ca="1">INDIRECT("'Data 1'!BB"&amp;IF('Plot Layout'!B10="",2,'Plot Layout'!B10+1))</f>
        <v>0</v>
      </c>
      <c r="BC2">
        <f ca="1">INDIRECT("'Data 1'!BC"&amp;IF('Plot Layout'!B10="",2,'Plot Layout'!B10+1))</f>
        <v>0</v>
      </c>
      <c r="BD2">
        <f ca="1">INDIRECT("'Data 1'!BD"&amp;IF('Plot Layout'!B10="",2,'Plot Layout'!B10+1))</f>
        <v>0</v>
      </c>
      <c r="BE2">
        <f ca="1">INDIRECT("'Data 1'!BE"&amp;IF('Plot Layout'!B10="",2,'Plot Layout'!B10+1))</f>
        <v>0</v>
      </c>
      <c r="BF2">
        <f ca="1">INDIRECT("'Data 1'!BF"&amp;IF('Plot Layout'!B10="",2,'Plot Layout'!B10+1))</f>
        <v>0</v>
      </c>
      <c r="BG2">
        <f ca="1">INDIRECT("'Data 1'!BG"&amp;IF('Plot Layout'!B10="",2,'Plot Layout'!B10+1))</f>
        <v>0</v>
      </c>
      <c r="BH2">
        <f ca="1">INDIRECT("'Data 1'!BH"&amp;IF('Plot Layout'!B10="",2,'Plot Layout'!B10+1))</f>
        <v>0</v>
      </c>
      <c r="BI2">
        <f ca="1">INDIRECT("'Data 1'!BI"&amp;IF('Plot Layout'!B10="",2,'Plot Layout'!B10+1))</f>
        <v>0</v>
      </c>
      <c r="BJ2">
        <f ca="1">INDIRECT("'Data 1'!BJ"&amp;IF('Plot Layout'!B10="",2,'Plot Layout'!B10+1))</f>
        <v>0</v>
      </c>
      <c r="BK2">
        <f ca="1">INDIRECT("'Data 1'!BK"&amp;IF('Plot Layout'!B10="",2,'Plot Layout'!B10+1))</f>
        <v>0</v>
      </c>
      <c r="BL2">
        <f ca="1">INDIRECT("'Data 1'!BL"&amp;IF('Plot Layout'!B10="",2,'Plot Layout'!B10+1))</f>
        <v>0</v>
      </c>
      <c r="BM2">
        <f ca="1">INDIRECT("'Data 1'!BM"&amp;IF('Plot Layout'!B10="",2,'Plot Layout'!B10+1))</f>
        <v>0</v>
      </c>
      <c r="BN2">
        <f ca="1">INDIRECT("'Data 1'!BN"&amp;IF('Plot Layout'!B10="",2,'Plot Layout'!B10+1))</f>
        <v>0</v>
      </c>
      <c r="BO2">
        <f ca="1">INDIRECT("'Data 1'!BO"&amp;IF('Plot Layout'!B10="",2,'Plot Layout'!B10+1))</f>
        <v>0</v>
      </c>
      <c r="BP2">
        <f ca="1">INDIRECT("'Data 1'!BP"&amp;IF('Plot Layout'!B10="",2,'Plot Layout'!B10+1))</f>
        <v>0</v>
      </c>
      <c r="BQ2">
        <f ca="1">INDIRECT("'Data 1'!BQ"&amp;IF('Plot Layout'!B10="",2,'Plot Layout'!B10+1))</f>
        <v>0</v>
      </c>
      <c r="BR2">
        <f ca="1">INDIRECT("'Data 1'!BR"&amp;IF('Plot Layout'!B10="",2,'Plot Layout'!B10+1))</f>
        <v>0</v>
      </c>
      <c r="BS2">
        <f ca="1">INDIRECT("'Data 1'!BS"&amp;IF('Plot Layout'!B10="",2,'Plot Layout'!B10+1))</f>
        <v>0</v>
      </c>
      <c r="BT2">
        <f ca="1">INDIRECT("'Data 1'!BT"&amp;IF('Plot Layout'!B10="",2,'Plot Layout'!B10+1))</f>
        <v>0</v>
      </c>
      <c r="BU2">
        <f ca="1">INDIRECT("'Data 1'!BU"&amp;IF('Plot Layout'!B10="",2,'Plot Layout'!B10+1))</f>
        <v>0</v>
      </c>
      <c r="BV2">
        <f ca="1">INDIRECT("'Data 1'!BV"&amp;IF('Plot Layout'!B10="",2,'Plot Layout'!B10+1))</f>
        <v>0</v>
      </c>
      <c r="BW2">
        <f ca="1">INDIRECT("'Data 1'!BW"&amp;IF('Plot Layout'!B10="",2,'Plot Layout'!B10+1))</f>
        <v>0</v>
      </c>
      <c r="BX2">
        <f ca="1">INDIRECT("'Data 1'!BX"&amp;IF('Plot Layout'!B10="",2,'Plot Layout'!B10+1))</f>
        <v>0</v>
      </c>
      <c r="BY2">
        <f ca="1">INDIRECT("'Data 1'!BY"&amp;IF('Plot Layout'!B10="",2,'Plot Layout'!B10+1))</f>
        <v>0</v>
      </c>
      <c r="BZ2">
        <f ca="1">INDIRECT("'Data 1'!BZ"&amp;IF('Plot Layout'!B10="",2,'Plot Layout'!B10+1))</f>
        <v>0</v>
      </c>
      <c r="CA2">
        <f ca="1">INDIRECT("'Data 1'!CA"&amp;IF('Plot Layout'!B10="",2,'Plot Layout'!B10+1))</f>
        <v>0</v>
      </c>
      <c r="CB2">
        <f ca="1">INDIRECT("'Data 1'!CB"&amp;IF('Plot Layout'!B10="",2,'Plot Layout'!B10+1))</f>
        <v>0</v>
      </c>
      <c r="CC2">
        <f ca="1">INDIRECT("'Data 1'!CC"&amp;IF('Plot Layout'!B10="",2,'Plot Layout'!B10+1))</f>
        <v>0</v>
      </c>
      <c r="CD2">
        <f ca="1">INDIRECT("'Data 1'!CD"&amp;IF('Plot Layout'!B10="",2,'Plot Layout'!B10+1))</f>
        <v>0</v>
      </c>
      <c r="CE2">
        <f ca="1">INDIRECT("'Data 1'!CE"&amp;IF('Plot Layout'!B10="",2,'Plot Layout'!B10+1))</f>
        <v>0</v>
      </c>
      <c r="CF2">
        <f ca="1">INDIRECT("'Data 1'!CF"&amp;IF('Plot Layout'!B10="",2,'Plot Layout'!B10+1))</f>
        <v>0</v>
      </c>
      <c r="CG2">
        <f ca="1">INDIRECT("'Data 1'!CG"&amp;IF('Plot Layout'!B10="",2,'Plot Layout'!B10+1))</f>
        <v>0</v>
      </c>
      <c r="CH2">
        <f ca="1">INDIRECT("'Data 1'!CH"&amp;IF('Plot Layout'!B10="",2,'Plot Layout'!B10+1))</f>
        <v>0</v>
      </c>
      <c r="CI2">
        <f ca="1">INDIRECT("'Data 1'!CI"&amp;IF('Plot Layout'!B10="",2,'Plot Layout'!B10+1))</f>
        <v>0</v>
      </c>
      <c r="CJ2">
        <f ca="1">INDIRECT("'Data 1'!CJ"&amp;IF('Plot Layout'!B10="",2,'Plot Layout'!B10+1))</f>
        <v>0</v>
      </c>
      <c r="CK2">
        <f ca="1">INDIRECT("'Data 1'!CK"&amp;IF('Plot Layout'!B10="",2,'Plot Layout'!B10+1))</f>
        <v>0</v>
      </c>
      <c r="CL2">
        <f ca="1">INDIRECT("'Data 1'!CL"&amp;IF('Plot Layout'!B10="",2,'Plot Layout'!B10+1))</f>
        <v>0</v>
      </c>
      <c r="CM2">
        <f ca="1">INDIRECT("'Data 1'!CM"&amp;IF('Plot Layout'!B10="",2,'Plot Layout'!B10+1))</f>
        <v>0</v>
      </c>
      <c r="CN2">
        <f ca="1">INDIRECT("'Data 1'!CN"&amp;IF('Plot Layout'!B10="",2,'Plot Layout'!B10+1))</f>
        <v>0</v>
      </c>
      <c r="CO2">
        <f ca="1">INDIRECT("'Data 1'!CO"&amp;IF('Plot Layout'!B10="",2,'Plot Layout'!B10+1))</f>
        <v>0</v>
      </c>
      <c r="CP2">
        <f ca="1">INDIRECT("'Data 1'!CP"&amp;IF('Plot Layout'!B10="",2,'Plot Layout'!B10+1))</f>
        <v>0</v>
      </c>
      <c r="CQ2">
        <f ca="1">INDIRECT("'Data 1'!CQ"&amp;IF('Plot Layout'!B10="",2,'Plot Layout'!B10+1))</f>
        <v>0</v>
      </c>
      <c r="CR2">
        <f ca="1">INDIRECT("'Data 1'!CR"&amp;IF('Plot Layout'!B10="",2,'Plot Layout'!B10+1))</f>
        <v>0</v>
      </c>
      <c r="CS2">
        <f ca="1">INDIRECT("'Data 1'!CS"&amp;IF('Plot Layout'!B10="",2,'Plot Layout'!B10+1))</f>
        <v>0</v>
      </c>
      <c r="CT2">
        <f ca="1">INDIRECT("'Data 1'!CT"&amp;IF('Plot Layout'!B10="",2,'Plot Layout'!B10+1))</f>
        <v>0</v>
      </c>
      <c r="CU2">
        <f ca="1">INDIRECT("'Data 1'!CU"&amp;IF('Plot Layout'!B10="",2,'Plot Layout'!B10+1))</f>
        <v>0</v>
      </c>
      <c r="CV2">
        <f ca="1">INDIRECT("'Data 1'!CV"&amp;IF('Plot Layout'!B10="",2,'Plot Layout'!B10+1))</f>
        <v>0</v>
      </c>
      <c r="CW2">
        <f ca="1">INDIRECT("'Data 1'!CW"&amp;IF('Plot Layout'!B10="",2,'Plot Layout'!B10+1))</f>
        <v>0</v>
      </c>
      <c r="CX2">
        <f ca="1">INDIRECT("'Data 1'!CX"&amp;IF('Plot Layout'!B10="",2,'Plot Layout'!B10+1))</f>
        <v>0</v>
      </c>
      <c r="CY2">
        <f ca="1">INDIRECT("'Data 1'!CY"&amp;IF('Plot Layout'!B10="",2,'Plot Layout'!B10+1))</f>
        <v>0</v>
      </c>
      <c r="CZ2">
        <f ca="1">INDIRECT("'Data 1'!CZ"&amp;IF('Plot Layout'!B10="",2,'Plot Layout'!B10+1))</f>
        <v>0</v>
      </c>
      <c r="DA2">
        <f ca="1">INDIRECT("'Data 1'!DA"&amp;IF('Plot Layout'!B10="",2,'Plot Layout'!B10+1))</f>
        <v>0</v>
      </c>
      <c r="DB2">
        <f ca="1">INDIRECT("'Data 1'!DB"&amp;IF('Plot Layout'!B10="",2,'Plot Layout'!B10+1))</f>
        <v>0</v>
      </c>
      <c r="DC2">
        <f ca="1">INDIRECT("'Data 1'!DC"&amp;IF('Plot Layout'!B10="",2,'Plot Layout'!B10+1))</f>
        <v>0</v>
      </c>
      <c r="DD2">
        <f ca="1">INDIRECT("'Data 1'!DD"&amp;IF('Plot Layout'!B10="",2,'Plot Layout'!B10+1))</f>
        <v>0</v>
      </c>
      <c r="DE2">
        <f ca="1">INDIRECT("'Data 1'!DE"&amp;IF('Plot Layout'!B10="",2,'Plot Layout'!B10+1))</f>
        <v>0</v>
      </c>
      <c r="DF2">
        <f ca="1">INDIRECT("'Data 1'!DF"&amp;IF('Plot Layout'!B10="",2,'Plot Layout'!B10+1))</f>
        <v>0</v>
      </c>
      <c r="DG2">
        <f ca="1">INDIRECT("'Data 1'!DG"&amp;IF('Plot Layout'!B10="",2,'Plot Layout'!B10+1))</f>
        <v>0</v>
      </c>
      <c r="DH2">
        <f ca="1">INDIRECT("'Data 1'!DH"&amp;IF('Plot Layout'!B10="",2,'Plot Layout'!B10+1))</f>
        <v>0</v>
      </c>
      <c r="DI2">
        <f ca="1">INDIRECT("'Data 1'!DI"&amp;IF('Plot Layout'!B10="",2,'Plot Layout'!B10+1))</f>
        <v>0</v>
      </c>
      <c r="DJ2">
        <f ca="1">INDIRECT("'Data 1'!DJ"&amp;IF('Plot Layout'!B10="",2,'Plot Layout'!B10+1))</f>
        <v>0</v>
      </c>
      <c r="DK2">
        <f ca="1">INDIRECT("'Data 1'!DK"&amp;IF('Plot Layout'!B10="",2,'Plot Layout'!B10+1))</f>
        <v>0</v>
      </c>
      <c r="DL2">
        <f ca="1">INDIRECT("'Data 1'!DL"&amp;IF('Plot Layout'!B10="",2,'Plot Layout'!B10+1))</f>
        <v>0</v>
      </c>
      <c r="DM2">
        <f ca="1">INDIRECT("'Data 1'!DM"&amp;IF('Plot Layout'!B10="",2,'Plot Layout'!B10+1))</f>
        <v>0</v>
      </c>
      <c r="DN2">
        <f ca="1">INDIRECT("'Data 1'!DN"&amp;IF('Plot Layout'!B10="",2,'Plot Layout'!B10+1))</f>
        <v>0</v>
      </c>
      <c r="DO2">
        <f ca="1">INDIRECT("'Data 1'!DO"&amp;IF('Plot Layout'!B10="",2,'Plot Layout'!B10+1))</f>
        <v>0</v>
      </c>
      <c r="DP2">
        <f ca="1">INDIRECT("'Data 1'!DP"&amp;IF('Plot Layout'!B10="",2,'Plot Layout'!B10+1))</f>
        <v>0</v>
      </c>
      <c r="DQ2">
        <f ca="1">INDIRECT("'Data 1'!DQ"&amp;IF('Plot Layout'!B10="",2,'Plot Layout'!B10+1))</f>
        <v>0</v>
      </c>
      <c r="DR2">
        <f ca="1">INDIRECT("'Data 1'!DR"&amp;IF('Plot Layout'!B10="",2,'Plot Layout'!B10+1))</f>
        <v>0</v>
      </c>
      <c r="DS2">
        <f ca="1">INDIRECT("'Data 1'!DS"&amp;IF('Plot Layout'!B10="",2,'Plot Layout'!B10+1))</f>
        <v>0</v>
      </c>
      <c r="DT2">
        <f ca="1">INDIRECT("'Data 1'!DT"&amp;IF('Plot Layout'!B10="",2,'Plot Layout'!B10+1))</f>
        <v>0</v>
      </c>
      <c r="DU2">
        <f ca="1">INDIRECT("'Data 1'!DU"&amp;IF('Plot Layout'!B10="",2,'Plot Layout'!B10+1))</f>
        <v>0</v>
      </c>
      <c r="DV2">
        <f ca="1">INDIRECT("'Data 1'!DV"&amp;IF('Plot Layout'!B10="",2,'Plot Layout'!B10+1))</f>
        <v>0</v>
      </c>
      <c r="DW2">
        <f ca="1">INDIRECT("'Data 1'!DW"&amp;IF('Plot Layout'!B10="",2,'Plot Layout'!B10+1))</f>
        <v>0</v>
      </c>
      <c r="DX2">
        <f ca="1">INDIRECT("'Data 1'!DX"&amp;IF('Plot Layout'!B10="",2,'Plot Layout'!B10+1))</f>
        <v>0</v>
      </c>
      <c r="DY2">
        <f ca="1">INDIRECT("'Data 1'!DY"&amp;IF('Plot Layout'!B10="",2,'Plot Layout'!B10+1))</f>
        <v>0</v>
      </c>
      <c r="DZ2">
        <f ca="1">INDIRECT("'Data 1'!DZ"&amp;IF('Plot Layout'!B10="",2,'Plot Layout'!B10+1))</f>
        <v>0</v>
      </c>
      <c r="EA2">
        <f ca="1">INDIRECT("'Data 1'!EA"&amp;IF('Plot Layout'!B10="",2,'Plot Layout'!B10+1))</f>
        <v>0</v>
      </c>
      <c r="EB2">
        <f ca="1">INDIRECT("'Data 1'!EB"&amp;IF('Plot Layout'!B10="",2,'Plot Layout'!B10+1))</f>
        <v>0</v>
      </c>
      <c r="EC2">
        <f ca="1">INDIRECT("'Data 1'!EC"&amp;IF('Plot Layout'!B10="",2,'Plot Layout'!B10+1))</f>
        <v>0</v>
      </c>
      <c r="ED2">
        <f ca="1">INDIRECT("'Data 1'!ED"&amp;IF('Plot Layout'!B10="",2,'Plot Layout'!B10+1))</f>
        <v>0</v>
      </c>
      <c r="EE2">
        <f ca="1">INDIRECT("'Data 1'!EE"&amp;IF('Plot Layout'!B10="",2,'Plot Layout'!B10+1))</f>
        <v>0</v>
      </c>
      <c r="EF2">
        <f ca="1">INDIRECT("'Data 1'!EF"&amp;IF('Plot Layout'!B10="",2,'Plot Layout'!B10+1))</f>
        <v>0</v>
      </c>
      <c r="EG2">
        <f ca="1">INDIRECT("'Data 1'!EG"&amp;IF('Plot Layout'!B10="",2,'Plot Layout'!B10+1))</f>
        <v>0</v>
      </c>
      <c r="EH2">
        <f ca="1">INDIRECT("'Data 1'!EH"&amp;IF('Plot Layout'!B10="",2,'Plot Layout'!B10+1))</f>
        <v>0</v>
      </c>
      <c r="EI2">
        <f ca="1">INDIRECT("'Data 1'!EI"&amp;IF('Plot Layout'!B10="",2,'Plot Layout'!B10+1))</f>
        <v>0</v>
      </c>
      <c r="EJ2">
        <f ca="1">INDIRECT("'Data 1'!EJ"&amp;IF('Plot Layout'!B10="",2,'Plot Layout'!B10+1))</f>
        <v>0</v>
      </c>
      <c r="EK2">
        <f ca="1">INDIRECT("'Data 1'!EK"&amp;IF('Plot Layout'!B10="",2,'Plot Layout'!B10+1))</f>
        <v>0</v>
      </c>
      <c r="EL2">
        <f ca="1">INDIRECT("'Data 1'!EL"&amp;IF('Plot Layout'!B10="",2,'Plot Layout'!B10+1))</f>
        <v>0</v>
      </c>
      <c r="EM2">
        <f ca="1">INDIRECT("'Data 1'!EM"&amp;IF('Plot Layout'!B10="",2,'Plot Layout'!B10+1))</f>
        <v>0</v>
      </c>
      <c r="EN2">
        <f ca="1">INDIRECT("'Data 1'!EN"&amp;IF('Plot Layout'!B10="",2,'Plot Layout'!B10+1))</f>
        <v>0</v>
      </c>
      <c r="EO2">
        <f ca="1">INDIRECT("'Data 1'!EO"&amp;IF('Plot Layout'!B10="",2,'Plot Layout'!B10+1))</f>
        <v>0</v>
      </c>
      <c r="EP2">
        <f ca="1">INDIRECT("'Data 1'!EP"&amp;IF('Plot Layout'!B10="",2,'Plot Layout'!B10+1))</f>
        <v>0</v>
      </c>
      <c r="EQ2">
        <f ca="1">INDIRECT("'Data 1'!EQ"&amp;IF('Plot Layout'!B10="",2,'Plot Layout'!B10+1))</f>
        <v>0</v>
      </c>
      <c r="ER2">
        <f ca="1">INDIRECT("'Data 1'!ER"&amp;IF('Plot Layout'!B10="",2,'Plot Layout'!B10+1))</f>
        <v>0</v>
      </c>
      <c r="ES2">
        <f ca="1">INDIRECT("'Data 1'!ES"&amp;IF('Plot Layout'!B10="",2,'Plot Layout'!B10+1))</f>
        <v>0</v>
      </c>
      <c r="ET2">
        <f ca="1">INDIRECT("'Data 1'!ET"&amp;IF('Plot Layout'!B10="",2,'Plot Layout'!B10+1))</f>
        <v>0</v>
      </c>
      <c r="EU2">
        <f ca="1">INDIRECT("'Data 1'!EU"&amp;IF('Plot Layout'!B10="",2,'Plot Layout'!B10+1))</f>
        <v>0</v>
      </c>
      <c r="EV2">
        <f ca="1">INDIRECT("'Data 1'!EV"&amp;IF('Plot Layout'!B10="",2,'Plot Layout'!B10+1))</f>
        <v>0</v>
      </c>
      <c r="EW2">
        <f ca="1">INDIRECT("'Data 1'!EW"&amp;IF('Plot Layout'!B10="",2,'Plot Layout'!B10+1))</f>
        <v>0</v>
      </c>
      <c r="EX2">
        <f ca="1">INDIRECT("'Data 1'!EX"&amp;IF('Plot Layout'!B10="",2,'Plot Layout'!B10+1))</f>
        <v>0</v>
      </c>
      <c r="EY2">
        <f ca="1">INDIRECT("'Data 1'!EY"&amp;IF('Plot Layout'!B10="",2,'Plot Layout'!B10+1))</f>
        <v>0</v>
      </c>
      <c r="EZ2">
        <f ca="1">INDIRECT("'Data 1'!EZ"&amp;IF('Plot Layout'!B10="",2,'Plot Layout'!B10+1))</f>
        <v>0</v>
      </c>
      <c r="FA2">
        <f ca="1">INDIRECT("'Data 1'!FA"&amp;IF('Plot Layout'!B10="",2,'Plot Layout'!B10+1))</f>
        <v>0</v>
      </c>
      <c r="FB2">
        <f ca="1">INDIRECT("'Data 1'!FB"&amp;IF('Plot Layout'!B10="",2,'Plot Layout'!B10+1))</f>
        <v>0</v>
      </c>
      <c r="FC2">
        <f ca="1">INDIRECT("'Data 1'!FC"&amp;IF('Plot Layout'!B10="",2,'Plot Layout'!B10+1))</f>
        <v>0</v>
      </c>
      <c r="FD2">
        <f ca="1">INDIRECT("'Data 1'!FD"&amp;IF('Plot Layout'!B10="",2,'Plot Layout'!B10+1))</f>
        <v>0</v>
      </c>
      <c r="FE2">
        <f ca="1">INDIRECT("'Data 1'!FE"&amp;IF('Plot Layout'!B10="",2,'Plot Layout'!B10+1))</f>
        <v>0</v>
      </c>
      <c r="FF2">
        <f ca="1">INDIRECT("'Data 1'!FF"&amp;IF('Plot Layout'!B10="",2,'Plot Layout'!B10+1))</f>
        <v>0</v>
      </c>
      <c r="FG2">
        <f ca="1">INDIRECT("'Data 1'!FG"&amp;IF('Plot Layout'!B10="",2,'Plot Layout'!B10+1))</f>
        <v>0</v>
      </c>
      <c r="FH2">
        <f ca="1">INDIRECT("'Data 1'!FH"&amp;IF('Plot Layout'!B10="",2,'Plot Layout'!B10+1))</f>
        <v>0</v>
      </c>
      <c r="FI2">
        <f ca="1">INDIRECT("'Data 1'!FI"&amp;IF('Plot Layout'!B10="",2,'Plot Layout'!B10+1))</f>
        <v>0</v>
      </c>
      <c r="FJ2">
        <f ca="1">INDIRECT("'Data 1'!FJ"&amp;IF('Plot Layout'!B10="",2,'Plot Layout'!B10+1))</f>
        <v>0</v>
      </c>
      <c r="FK2">
        <f ca="1">INDIRECT("'Data 1'!FK"&amp;IF('Plot Layout'!B10="",2,'Plot Layout'!B10+1))</f>
        <v>0</v>
      </c>
      <c r="FL2">
        <f ca="1">INDIRECT("'Data 1'!FL"&amp;IF('Plot Layout'!B10="",2,'Plot Layout'!B10+1))</f>
        <v>0</v>
      </c>
      <c r="FM2">
        <f ca="1">INDIRECT("'Data 1'!FM"&amp;IF('Plot Layout'!B10="",2,'Plot Layout'!B10+1))</f>
        <v>0</v>
      </c>
      <c r="FN2">
        <f ca="1">INDIRECT("'Data 1'!FN"&amp;IF('Plot Layout'!B10="",2,'Plot Layout'!B10+1))</f>
        <v>0</v>
      </c>
      <c r="FO2">
        <f ca="1">INDIRECT("'Data 1'!FO"&amp;IF('Plot Layout'!B10="",2,'Plot Layout'!B10+1))</f>
        <v>0</v>
      </c>
      <c r="FP2">
        <f ca="1">INDIRECT("'Data 1'!FP"&amp;IF('Plot Layout'!B10="",2,'Plot Layout'!B10+1))</f>
        <v>0</v>
      </c>
      <c r="FQ2">
        <f ca="1">INDIRECT("'Data 1'!FQ"&amp;IF('Plot Layout'!B10="",2,'Plot Layout'!B10+1))</f>
        <v>0</v>
      </c>
      <c r="FR2">
        <f ca="1">INDIRECT("'Data 1'!FR"&amp;IF('Plot Layout'!B10="",2,'Plot Layout'!B10+1))</f>
        <v>0</v>
      </c>
      <c r="FS2">
        <f ca="1">INDIRECT("'Data 1'!FS"&amp;IF('Plot Layout'!B10="",2,'Plot Layout'!B10+1))</f>
        <v>0</v>
      </c>
      <c r="FT2">
        <f ca="1">INDIRECT("'Data 1'!FT"&amp;IF('Plot Layout'!B10="",2,'Plot Layout'!B10+1))</f>
        <v>0</v>
      </c>
      <c r="FU2">
        <f ca="1">INDIRECT("'Data 1'!FU"&amp;IF('Plot Layout'!B10="",2,'Plot Layout'!B10+1))</f>
        <v>0</v>
      </c>
      <c r="FV2">
        <f ca="1">INDIRECT("'Data 1'!FV"&amp;IF('Plot Layout'!B10="",2,'Plot Layout'!B10+1))</f>
        <v>0</v>
      </c>
      <c r="FW2">
        <f ca="1">INDIRECT("'Data 1'!FW"&amp;IF('Plot Layout'!B10="",2,'Plot Layout'!B10+1))</f>
        <v>0</v>
      </c>
      <c r="FX2">
        <f ca="1">INDIRECT("'Data 1'!FX"&amp;IF('Plot Layout'!B10="",2,'Plot Layout'!B10+1))</f>
        <v>0</v>
      </c>
      <c r="FY2">
        <f ca="1">INDIRECT("'Data 1'!FY"&amp;IF('Plot Layout'!B10="",2,'Plot Layout'!B10+1))</f>
        <v>0</v>
      </c>
      <c r="FZ2">
        <f ca="1">INDIRECT("'Data 1'!FZ"&amp;IF('Plot Layout'!B10="",2,'Plot Layout'!B10+1))</f>
        <v>0</v>
      </c>
      <c r="GA2">
        <f ca="1">INDIRECT("'Data 1'!GA"&amp;IF('Plot Layout'!B10="",2,'Plot Layout'!B10+1))</f>
        <v>0</v>
      </c>
      <c r="GB2">
        <f ca="1">INDIRECT("'Data 1'!GB"&amp;IF('Plot Layout'!B10="",2,'Plot Layout'!B10+1))</f>
        <v>0</v>
      </c>
      <c r="GC2">
        <f ca="1">INDIRECT("'Data 1'!GC"&amp;IF('Plot Layout'!B10="",2,'Plot Layout'!B10+1))</f>
        <v>0</v>
      </c>
      <c r="GD2">
        <f ca="1">INDIRECT("'Data 1'!GD"&amp;IF('Plot Layout'!B10="",2,'Plot Layout'!B10+1))</f>
        <v>0</v>
      </c>
      <c r="GE2">
        <f ca="1">INDIRECT("'Data 1'!GE"&amp;IF('Plot Layout'!B10="",2,'Plot Layout'!B10+1))</f>
        <v>0</v>
      </c>
      <c r="GF2">
        <f ca="1">INDIRECT("'Data 1'!GF"&amp;IF('Plot Layout'!B10="",2,'Plot Layout'!B10+1))</f>
        <v>0</v>
      </c>
      <c r="GG2">
        <f ca="1">INDIRECT("'Data 1'!GG"&amp;IF('Plot Layout'!B10="",2,'Plot Layout'!B10+1))</f>
        <v>0</v>
      </c>
      <c r="GH2">
        <f ca="1">INDIRECT("'Data 1'!GH"&amp;IF('Plot Layout'!B10="",2,'Plot Layout'!B10+1))</f>
        <v>0</v>
      </c>
      <c r="GI2">
        <f ca="1">INDIRECT("'Data 1'!GI"&amp;IF('Plot Layout'!B10="",2,'Plot Layout'!B10+1))</f>
        <v>0</v>
      </c>
      <c r="GJ2">
        <f ca="1">INDIRECT("'Data 1'!GJ"&amp;IF('Plot Layout'!B10="",2,'Plot Layout'!B10+1))</f>
        <v>0</v>
      </c>
      <c r="GK2">
        <f ca="1">INDIRECT("'Data 1'!GK"&amp;IF('Plot Layout'!B10="",2,'Plot Layout'!B10+1))</f>
        <v>0</v>
      </c>
      <c r="GL2">
        <f ca="1">INDIRECT("'Data 1'!GL"&amp;IF('Plot Layout'!B10="",2,'Plot Layout'!B10+1))</f>
        <v>0</v>
      </c>
      <c r="GM2">
        <f ca="1">INDIRECT("'Data 1'!GM"&amp;IF('Plot Layout'!B10="",2,'Plot Layout'!B10+1))</f>
        <v>0</v>
      </c>
      <c r="GN2">
        <f ca="1">INDIRECT("'Data 1'!GN"&amp;IF('Plot Layout'!B10="",2,'Plot Layout'!B10+1))</f>
        <v>0</v>
      </c>
      <c r="GO2">
        <f ca="1">INDIRECT("'Data 1'!GO"&amp;IF('Plot Layout'!B10="",2,'Plot Layout'!B10+1))</f>
        <v>0</v>
      </c>
      <c r="GP2">
        <f ca="1">INDIRECT("'Data 1'!GP"&amp;IF('Plot Layout'!B10="",2,'Plot Layout'!B10+1))</f>
        <v>0</v>
      </c>
      <c r="GQ2">
        <f ca="1">INDIRECT("'Data 1'!GQ"&amp;IF('Plot Layout'!B10="",2,'Plot Layout'!B10+1))</f>
        <v>0</v>
      </c>
      <c r="GR2">
        <f ca="1">INDIRECT("'Data 1'!GR"&amp;IF('Plot Layout'!B10="",2,'Plot Layout'!B10+1))</f>
        <v>0</v>
      </c>
      <c r="GS2">
        <f ca="1">INDIRECT("'Data 1'!GS"&amp;IF('Plot Layout'!B10="",2,'Plot Layout'!B10+1))</f>
        <v>0</v>
      </c>
      <c r="GT2">
        <f ca="1">INDIRECT("'Data 1'!GT"&amp;IF('Plot Layout'!B10="",2,'Plot Layout'!B10+1))</f>
        <v>0</v>
      </c>
      <c r="GU2">
        <f ca="1">INDIRECT("'Data 1'!GU"&amp;IF('Plot Layout'!B10="",2,'Plot Layout'!B10+1))</f>
        <v>0</v>
      </c>
      <c r="GV2">
        <f ca="1">INDIRECT("'Data 1'!GV"&amp;IF('Plot Layout'!B10="",2,'Plot Layout'!B10+1))</f>
        <v>0</v>
      </c>
      <c r="GW2">
        <f ca="1">INDIRECT("'Data 1'!GW"&amp;IF('Plot Layout'!B10="",2,'Plot Layout'!B10+1))</f>
        <v>0</v>
      </c>
      <c r="GX2">
        <f ca="1">INDIRECT("'Data 1'!GX"&amp;IF('Plot Layout'!B10="",2,'Plot Layout'!B10+1))</f>
        <v>0</v>
      </c>
      <c r="GY2">
        <f ca="1">INDIRECT("'Data 1'!GY"&amp;IF('Plot Layout'!B10="",2,'Plot Layout'!B10+1))</f>
        <v>0</v>
      </c>
      <c r="GZ2">
        <f ca="1">INDIRECT("'Data 1'!GZ"&amp;IF('Plot Layout'!B10="",2,'Plot Layout'!B10+1))</f>
        <v>0</v>
      </c>
      <c r="HA2">
        <f ca="1">INDIRECT("'Data 1'!HA"&amp;IF('Plot Layout'!B10="",2,'Plot Layout'!B10+1))</f>
        <v>0</v>
      </c>
      <c r="HB2">
        <f ca="1">INDIRECT("'Data 1'!HB"&amp;IF('Plot Layout'!B10="",2,'Plot Layout'!B10+1))</f>
        <v>0</v>
      </c>
      <c r="HC2">
        <f ca="1">INDIRECT("'Data 1'!HC"&amp;IF('Plot Layout'!B10="",2,'Plot Layout'!B10+1))</f>
        <v>0</v>
      </c>
      <c r="HD2">
        <f ca="1">INDIRECT("'Data 1'!HD"&amp;IF('Plot Layout'!B10="",2,'Plot Layout'!B10+1))</f>
        <v>0</v>
      </c>
      <c r="HE2">
        <f ca="1">INDIRECT("'Data 1'!HE"&amp;IF('Plot Layout'!B10="",2,'Plot Layout'!B10+1))</f>
        <v>0</v>
      </c>
      <c r="HF2">
        <f ca="1">INDIRECT("'Data 1'!HF"&amp;IF('Plot Layout'!B10="",2,'Plot Layout'!B10+1))</f>
        <v>0</v>
      </c>
      <c r="HG2">
        <f ca="1">INDIRECT("'Data 1'!HG"&amp;IF('Plot Layout'!B10="",2,'Plot Layout'!B10+1))</f>
        <v>0</v>
      </c>
      <c r="HH2">
        <f ca="1">INDIRECT("'Data 1'!HH"&amp;IF('Plot Layout'!B10="",2,'Plot Layout'!B10+1))</f>
        <v>0</v>
      </c>
      <c r="HI2">
        <f ca="1">INDIRECT("'Data 1'!HI"&amp;IF('Plot Layout'!B10="",2,'Plot Layout'!B10+1))</f>
        <v>0</v>
      </c>
      <c r="HJ2">
        <f ca="1">INDIRECT("'Data 1'!HJ"&amp;IF('Plot Layout'!B10="",2,'Plot Layout'!B10+1))</f>
        <v>0</v>
      </c>
      <c r="HK2">
        <f ca="1">INDIRECT("'Data 1'!HK"&amp;IF('Plot Layout'!B10="",2,'Plot Layout'!B10+1))</f>
        <v>0</v>
      </c>
      <c r="HL2">
        <f ca="1">INDIRECT("'Data 1'!HL"&amp;IF('Plot Layout'!B10="",2,'Plot Layout'!B10+1))</f>
        <v>0</v>
      </c>
      <c r="HM2">
        <f ca="1">INDIRECT("'Data 1'!HM"&amp;IF('Plot Layout'!B10="",2,'Plot Layout'!B10+1))</f>
        <v>0</v>
      </c>
      <c r="HN2">
        <f ca="1">INDIRECT("'Data 1'!HN"&amp;IF('Plot Layout'!B10="",2,'Plot Layout'!B10+1))</f>
        <v>0</v>
      </c>
      <c r="HO2">
        <f ca="1">INDIRECT("'Data 1'!HO"&amp;IF('Plot Layout'!B10="",2,'Plot Layout'!B10+1))</f>
        <v>0</v>
      </c>
      <c r="HP2">
        <f ca="1">INDIRECT("'Data 1'!HP"&amp;IF('Plot Layout'!B10="",2,'Plot Layout'!B10+1))</f>
        <v>0</v>
      </c>
      <c r="HQ2">
        <f ca="1">INDIRECT("'Data 1'!HQ"&amp;IF('Plot Layout'!B10="",2,'Plot Layout'!B10+1))</f>
        <v>0</v>
      </c>
      <c r="HR2">
        <f ca="1">INDIRECT("'Data 1'!HR"&amp;IF('Plot Layout'!B10="",2,'Plot Layout'!B10+1))</f>
        <v>0</v>
      </c>
      <c r="HS2">
        <f ca="1">INDIRECT("'Data 1'!HS"&amp;IF('Plot Layout'!B10="",2,'Plot Layout'!B10+1))</f>
        <v>0</v>
      </c>
      <c r="HT2">
        <f ca="1">INDIRECT("'Data 1'!HT"&amp;IF('Plot Layout'!B10="",2,'Plot Layout'!B10+1))</f>
        <v>0</v>
      </c>
      <c r="HU2">
        <f ca="1">INDIRECT("'Data 1'!HU"&amp;IF('Plot Layout'!B10="",2,'Plot Layout'!B10+1))</f>
        <v>0</v>
      </c>
      <c r="HV2">
        <f ca="1">INDIRECT("'Data 1'!HV"&amp;IF('Plot Layout'!B10="",2,'Plot Layout'!B10+1))</f>
        <v>0</v>
      </c>
      <c r="HW2">
        <f ca="1">INDIRECT("'Data 1'!HW"&amp;IF('Plot Layout'!B10="",2,'Plot Layout'!B10+1))</f>
        <v>0</v>
      </c>
      <c r="HX2">
        <f ca="1">INDIRECT("'Data 1'!HX"&amp;IF('Plot Layout'!B10="",2,'Plot Layout'!B10+1))</f>
        <v>0</v>
      </c>
      <c r="HY2">
        <f ca="1">INDIRECT("'Data 1'!HY"&amp;IF('Plot Layout'!B10="",2,'Plot Layout'!B10+1))</f>
        <v>0</v>
      </c>
      <c r="HZ2">
        <f ca="1">INDIRECT("'Data 1'!HZ"&amp;IF('Plot Layout'!B10="",2,'Plot Layout'!B10+1))</f>
        <v>0</v>
      </c>
      <c r="IA2">
        <f ca="1">INDIRECT("'Data 1'!IA"&amp;IF('Plot Layout'!B10="",2,'Plot Layout'!B10+1))</f>
        <v>0</v>
      </c>
      <c r="IB2">
        <f ca="1">INDIRECT("'Data 1'!IB"&amp;IF('Plot Layout'!B10="",2,'Plot Layout'!B10+1))</f>
        <v>0</v>
      </c>
      <c r="IC2">
        <f ca="1">INDIRECT("'Data 1'!IC"&amp;IF('Plot Layout'!B10="",2,'Plot Layout'!B10+1))</f>
        <v>0</v>
      </c>
      <c r="ID2">
        <f ca="1">INDIRECT("'Data 1'!ID"&amp;IF('Plot Layout'!B10="",2,'Plot Layout'!B10+1))</f>
        <v>0</v>
      </c>
      <c r="IE2">
        <f ca="1">INDIRECT("'Data 1'!IE"&amp;IF('Plot Layout'!B10="",2,'Plot Layout'!B10+1))</f>
        <v>0</v>
      </c>
      <c r="IF2">
        <f ca="1">INDIRECT("'Data 1'!IF"&amp;IF('Plot Layout'!B10="",2,'Plot Layout'!B10+1))</f>
        <v>0</v>
      </c>
      <c r="IG2">
        <f ca="1">INDIRECT("'Data 1'!IG"&amp;IF('Plot Layout'!B10="",2,'Plot Layout'!B10+1))</f>
        <v>0</v>
      </c>
      <c r="IH2">
        <f ca="1">INDIRECT("'Data 1'!IH"&amp;IF('Plot Layout'!B10="",2,'Plot Layout'!B10+1))</f>
        <v>0</v>
      </c>
      <c r="II2">
        <f ca="1">INDIRECT("'Data 1'!II"&amp;IF('Plot Layout'!B10="",2,'Plot Layout'!B10+1))</f>
        <v>0</v>
      </c>
      <c r="IJ2">
        <f ca="1">INDIRECT("'Data 1'!IJ"&amp;IF('Plot Layout'!B10="",2,'Plot Layout'!B10+1))</f>
        <v>0</v>
      </c>
      <c r="IK2">
        <f ca="1">INDIRECT("'Data 1'!IK"&amp;IF('Plot Layout'!B10="",2,'Plot Layout'!B10+1))</f>
        <v>0</v>
      </c>
      <c r="IL2">
        <f ca="1">INDIRECT("'Data 1'!IL"&amp;IF('Plot Layout'!B10="",2,'Plot Layout'!B10+1))</f>
        <v>0</v>
      </c>
      <c r="IM2">
        <f ca="1">INDIRECT("'Data 1'!IM"&amp;IF('Plot Layout'!B10="",2,'Plot Layout'!B10+1))</f>
        <v>0</v>
      </c>
      <c r="IN2">
        <f ca="1">INDIRECT("'Data 1'!IN"&amp;IF('Plot Layout'!B10="",2,'Plot Layout'!B10+1))</f>
        <v>0</v>
      </c>
      <c r="IO2">
        <f ca="1">INDIRECT("'Data 1'!IO"&amp;IF('Plot Layout'!B10="",2,'Plot Layout'!B10+1))</f>
        <v>0</v>
      </c>
      <c r="IP2">
        <f ca="1">INDIRECT("'Data 1'!IP"&amp;IF('Plot Layout'!B10="",2,'Plot Layout'!B10+1))</f>
        <v>0</v>
      </c>
      <c r="IQ2">
        <f ca="1">INDIRECT("'Data 1'!IQ"&amp;IF('Plot Layout'!B10="",2,'Plot Layout'!B10+1))</f>
        <v>0</v>
      </c>
      <c r="IR2">
        <f ca="1">INDIRECT("'Data 1'!IR"&amp;IF('Plot Layout'!B10="",2,'Plot Layout'!B10+1))</f>
        <v>0</v>
      </c>
      <c r="IS2">
        <f ca="1">INDIRECT("'Data 1'!IS"&amp;IF('Plot Layout'!B10="",2,'Plot Layout'!B10+1))</f>
        <v>0</v>
      </c>
      <c r="IT2">
        <f ca="1">INDIRECT("'Data 1'!IT"&amp;IF('Plot Layout'!B10="",2,'Plot Layout'!B10+1))</f>
        <v>0</v>
      </c>
      <c r="IU2">
        <f ca="1">INDIRECT("'Data 1'!IU"&amp;IF('Plot Layout'!B10="",2,'Plot Layout'!B10+1))</f>
        <v>0</v>
      </c>
      <c r="IV2">
        <f ca="1">INDIRECT("'Data 1'!IV"&amp;IF('Plot Layout'!B10="",2,'Plot Layout'!B10+1))</f>
        <v>0</v>
      </c>
    </row>
    <row r="3" spans="1:256">
      <c r="A3">
        <f ca="1">INDIRECT("'Data 2'!A"&amp;IF('Plot Layout'!C10="",2,'Plot Layout'!C10+1))</f>
        <v>30</v>
      </c>
      <c r="B3">
        <f ca="1">INDIRECT("'Data 2'!B"&amp;IF('Plot Layout'!C10="",2,'Plot Layout'!C10+1))</f>
        <v>1</v>
      </c>
      <c r="C3" t="str">
        <f ca="1">INDIRECT("'Data 2'!C"&amp;IF('Plot Layout'!C10="",2,'Plot Layout'!C10+1))</f>
        <v>65-410</v>
      </c>
      <c r="D3">
        <f ca="1">INDIRECT("'Data 2'!D"&amp;IF('Plot Layout'!C10="",2,'Plot Layout'!C10+1))</f>
        <v>6.7000000000000002E-3</v>
      </c>
      <c r="E3">
        <f ca="1">INDIRECT("'Data 2'!E"&amp;IF('Plot Layout'!C10="",2,'Plot Layout'!C10+1))</f>
        <v>1.5E-3</v>
      </c>
      <c r="F3">
        <f ca="1">INDIRECT("'Data 2'!F"&amp;IF('Plot Layout'!C10="",2,'Plot Layout'!C10+1))</f>
        <v>0.1</v>
      </c>
      <c r="G3">
        <f ca="1">INDIRECT("'Data 2'!G"&amp;IF('Plot Layout'!C10="",2,'Plot Layout'!C10+1))</f>
        <v>4</v>
      </c>
      <c r="H3">
        <f ca="1">INDIRECT("'Data 2'!H"&amp;IF('Plot Layout'!C10="",2,'Plot Layout'!C10+1))</f>
        <v>0</v>
      </c>
      <c r="I3">
        <f ca="1">INDIRECT("'Data 2'!I"&amp;IF('Plot Layout'!C10="",2,'Plot Layout'!C10+1))</f>
        <v>4.5999999999999996</v>
      </c>
      <c r="J3">
        <f ca="1">INDIRECT("'Data 2'!J"&amp;IF('Plot Layout'!C10="",2,'Plot Layout'!C10+1))</f>
        <v>9.5</v>
      </c>
      <c r="K3">
        <f ca="1">INDIRECT("'Data 2'!K"&amp;IF('Plot Layout'!C10="",2,'Plot Layout'!C10+1))</f>
        <v>22.8</v>
      </c>
      <c r="L3">
        <f ca="1">INDIRECT("'Data 2'!L"&amp;IF('Plot Layout'!C10="",2,'Plot Layout'!C10+1))</f>
        <v>15.6</v>
      </c>
      <c r="M3">
        <f ca="1">INDIRECT("'Data 2'!M"&amp;IF('Plot Layout'!C10="",2,'Plot Layout'!C10+1))</f>
        <v>0.75600000000000001</v>
      </c>
      <c r="N3">
        <f ca="1">INDIRECT("'Data 2'!N"&amp;IF('Plot Layout'!C10="",2,'Plot Layout'!C10+1))</f>
        <v>1.0720000000000001</v>
      </c>
      <c r="O3">
        <f ca="1">INDIRECT("'Data 2'!O"&amp;IF('Plot Layout'!C10="",2,'Plot Layout'!C10+1))</f>
        <v>-3</v>
      </c>
      <c r="P3">
        <f ca="1">INDIRECT("'Data 2'!P"&amp;IF('Plot Layout'!C10="",2,'Plot Layout'!C10+1))</f>
        <v>0</v>
      </c>
      <c r="Q3">
        <f ca="1">INDIRECT("'Data 2'!Q"&amp;IF('Plot Layout'!C10="",2,'Plot Layout'!C10+1))</f>
        <v>1.2999999999999999E-2</v>
      </c>
      <c r="R3">
        <f ca="1">INDIRECT("'Data 2'!R"&amp;IF('Plot Layout'!C10="",2,'Plot Layout'!C10+1))</f>
        <v>0</v>
      </c>
      <c r="S3">
        <f ca="1">INDIRECT("'Data 2'!S"&amp;IF('Plot Layout'!C10="",2,'Plot Layout'!C10+1))</f>
        <v>0</v>
      </c>
      <c r="T3">
        <f ca="1">INDIRECT("'Data 2'!T"&amp;IF('Plot Layout'!C10="",2,'Plot Layout'!C10+1))</f>
        <v>0</v>
      </c>
      <c r="U3">
        <f ca="1">INDIRECT("'Data 2'!U"&amp;IF('Plot Layout'!C10="",2,'Plot Layout'!C10+1))</f>
        <v>0</v>
      </c>
      <c r="V3">
        <f ca="1">INDIRECT("'Data 2'!V"&amp;IF('Plot Layout'!C10="",2,'Plot Layout'!C10+1))</f>
        <v>0</v>
      </c>
      <c r="W3">
        <f ca="1">INDIRECT("'Data 2'!W"&amp;IF('Plot Layout'!C10="",2,'Plot Layout'!C10+1))</f>
        <v>0</v>
      </c>
      <c r="X3">
        <f ca="1">INDIRECT("'Data 2'!X"&amp;IF('Plot Layout'!C10="",2,'Plot Layout'!C10+1))</f>
        <v>0</v>
      </c>
      <c r="Y3">
        <f ca="1">INDIRECT("'Data 2'!Y"&amp;IF('Plot Layout'!C10="",2,'Plot Layout'!C10+1))</f>
        <v>0</v>
      </c>
      <c r="Z3">
        <f ca="1">INDIRECT("'Data 2'!Z"&amp;IF('Plot Layout'!C10="",2,'Plot Layout'!C10+1))</f>
        <v>0</v>
      </c>
      <c r="AA3">
        <f ca="1">INDIRECT("'Data 2'!AA"&amp;IF('Plot Layout'!C10="",2,'Plot Layout'!C10+1))</f>
        <v>0</v>
      </c>
      <c r="AB3">
        <f ca="1">INDIRECT("'Data 2'!AB"&amp;IF('Plot Layout'!C10="",2,'Plot Layout'!C10+1))</f>
        <v>0</v>
      </c>
      <c r="AC3">
        <f ca="1">INDIRECT("'Data 2'!AC"&amp;IF('Plot Layout'!C10="",2,'Plot Layout'!C10+1))</f>
        <v>0</v>
      </c>
      <c r="AD3">
        <f ca="1">INDIRECT("'Data 2'!AD"&amp;IF('Plot Layout'!C10="",2,'Plot Layout'!C10+1))</f>
        <v>0</v>
      </c>
      <c r="AE3">
        <f ca="1">INDIRECT("'Data 2'!AE"&amp;IF('Plot Layout'!C10="",2,'Plot Layout'!C10+1))</f>
        <v>0</v>
      </c>
      <c r="AF3">
        <f ca="1">INDIRECT("'Data 2'!AF"&amp;IF('Plot Layout'!C10="",2,'Plot Layout'!C10+1))</f>
        <v>0</v>
      </c>
      <c r="AG3">
        <f ca="1">INDIRECT("'Data 2'!AG"&amp;IF('Plot Layout'!C10="",2,'Plot Layout'!C10+1))</f>
        <v>0</v>
      </c>
      <c r="AH3">
        <f ca="1">INDIRECT("'Data 2'!AH"&amp;IF('Plot Layout'!C10="",2,'Plot Layout'!C10+1))</f>
        <v>0</v>
      </c>
      <c r="AI3">
        <f ca="1">INDIRECT("'Data 2'!AI"&amp;IF('Plot Layout'!C10="",2,'Plot Layout'!C10+1))</f>
        <v>0</v>
      </c>
      <c r="AJ3">
        <f ca="1">INDIRECT("'Data 2'!AJ"&amp;IF('Plot Layout'!C10="",2,'Plot Layout'!C10+1))</f>
        <v>0</v>
      </c>
      <c r="AK3">
        <f ca="1">INDIRECT("'Data 2'!AK"&amp;IF('Plot Layout'!C10="",2,'Plot Layout'!C10+1))</f>
        <v>0</v>
      </c>
      <c r="AL3">
        <f ca="1">INDIRECT("'Data 2'!AL"&amp;IF('Plot Layout'!C10="",2,'Plot Layout'!C10+1))</f>
        <v>0</v>
      </c>
      <c r="AM3">
        <f ca="1">INDIRECT("'Data 2'!AM"&amp;IF('Plot Layout'!C10="",2,'Plot Layout'!C10+1))</f>
        <v>0</v>
      </c>
      <c r="AN3">
        <f ca="1">INDIRECT("'Data 2'!AN"&amp;IF('Plot Layout'!C10="",2,'Plot Layout'!C10+1))</f>
        <v>0</v>
      </c>
      <c r="AO3">
        <f ca="1">INDIRECT("'Data 2'!AO"&amp;IF('Plot Layout'!C10="",2,'Plot Layout'!C10+1))</f>
        <v>0</v>
      </c>
      <c r="AP3">
        <f ca="1">INDIRECT("'Data 2'!AP"&amp;IF('Plot Layout'!C10="",2,'Plot Layout'!C10+1))</f>
        <v>0</v>
      </c>
      <c r="AQ3">
        <f ca="1">INDIRECT("'Data 2'!AQ"&amp;IF('Plot Layout'!C10="",2,'Plot Layout'!C10+1))</f>
        <v>0</v>
      </c>
      <c r="AR3">
        <f ca="1">INDIRECT("'Data 2'!AR"&amp;IF('Plot Layout'!C10="",2,'Plot Layout'!C10+1))</f>
        <v>0</v>
      </c>
      <c r="AS3">
        <f ca="1">INDIRECT("'Data 2'!AS"&amp;IF('Plot Layout'!C10="",2,'Plot Layout'!C10+1))</f>
        <v>0</v>
      </c>
      <c r="AT3">
        <f ca="1">INDIRECT("'Data 2'!AT"&amp;IF('Plot Layout'!C10="",2,'Plot Layout'!C10+1))</f>
        <v>0</v>
      </c>
      <c r="AU3">
        <f ca="1">INDIRECT("'Data 2'!AU"&amp;IF('Plot Layout'!C10="",2,'Plot Layout'!C10+1))</f>
        <v>0</v>
      </c>
      <c r="AV3">
        <f ca="1">INDIRECT("'Data 2'!AV"&amp;IF('Plot Layout'!C10="",2,'Plot Layout'!C10+1))</f>
        <v>0</v>
      </c>
      <c r="AW3">
        <f ca="1">INDIRECT("'Data 2'!AW"&amp;IF('Plot Layout'!C10="",2,'Plot Layout'!C10+1))</f>
        <v>0</v>
      </c>
      <c r="AX3">
        <f ca="1">INDIRECT("'Data 2'!AX"&amp;IF('Plot Layout'!C10="",2,'Plot Layout'!C10+1))</f>
        <v>0</v>
      </c>
      <c r="AY3">
        <f ca="1">INDIRECT("'Data 2'!AY"&amp;IF('Plot Layout'!C10="",2,'Plot Layout'!C10+1))</f>
        <v>0</v>
      </c>
      <c r="AZ3">
        <f ca="1">INDIRECT("'Data 2'!AZ"&amp;IF('Plot Layout'!C10="",2,'Plot Layout'!C10+1))</f>
        <v>0</v>
      </c>
      <c r="BA3">
        <f ca="1">INDIRECT("'Data 2'!BA"&amp;IF('Plot Layout'!C10="",2,'Plot Layout'!C10+1))</f>
        <v>0</v>
      </c>
      <c r="BB3">
        <f ca="1">INDIRECT("'Data 2'!BB"&amp;IF('Plot Layout'!C10="",2,'Plot Layout'!C10+1))</f>
        <v>0</v>
      </c>
      <c r="BC3">
        <f ca="1">INDIRECT("'Data 2'!BC"&amp;IF('Plot Layout'!C10="",2,'Plot Layout'!C10+1))</f>
        <v>0</v>
      </c>
      <c r="BD3">
        <f ca="1">INDIRECT("'Data 2'!BD"&amp;IF('Plot Layout'!C10="",2,'Plot Layout'!C10+1))</f>
        <v>0</v>
      </c>
      <c r="BE3">
        <f ca="1">INDIRECT("'Data 2'!BE"&amp;IF('Plot Layout'!C10="",2,'Plot Layout'!C10+1))</f>
        <v>0</v>
      </c>
      <c r="BF3">
        <f ca="1">INDIRECT("'Data 2'!BF"&amp;IF('Plot Layout'!C10="",2,'Plot Layout'!C10+1))</f>
        <v>0</v>
      </c>
      <c r="BG3">
        <f ca="1">INDIRECT("'Data 2'!BG"&amp;IF('Plot Layout'!C10="",2,'Plot Layout'!C10+1))</f>
        <v>0</v>
      </c>
      <c r="BH3">
        <f ca="1">INDIRECT("'Data 2'!BH"&amp;IF('Plot Layout'!C10="",2,'Plot Layout'!C10+1))</f>
        <v>0</v>
      </c>
      <c r="BI3">
        <f ca="1">INDIRECT("'Data 2'!BI"&amp;IF('Plot Layout'!C10="",2,'Plot Layout'!C10+1))</f>
        <v>0</v>
      </c>
      <c r="BJ3">
        <f ca="1">INDIRECT("'Data 2'!BJ"&amp;IF('Plot Layout'!C10="",2,'Plot Layout'!C10+1))</f>
        <v>0</v>
      </c>
      <c r="BK3">
        <f ca="1">INDIRECT("'Data 2'!BK"&amp;IF('Plot Layout'!C10="",2,'Plot Layout'!C10+1))</f>
        <v>0</v>
      </c>
      <c r="BL3">
        <f ca="1">INDIRECT("'Data 2'!BL"&amp;IF('Plot Layout'!C10="",2,'Plot Layout'!C10+1))</f>
        <v>0</v>
      </c>
      <c r="BM3">
        <f ca="1">INDIRECT("'Data 2'!BM"&amp;IF('Plot Layout'!C10="",2,'Plot Layout'!C10+1))</f>
        <v>0</v>
      </c>
      <c r="BN3">
        <f ca="1">INDIRECT("'Data 2'!BN"&amp;IF('Plot Layout'!C10="",2,'Plot Layout'!C10+1))</f>
        <v>0</v>
      </c>
      <c r="BO3">
        <f ca="1">INDIRECT("'Data 2'!BO"&amp;IF('Plot Layout'!C10="",2,'Plot Layout'!C10+1))</f>
        <v>0</v>
      </c>
      <c r="BP3">
        <f ca="1">INDIRECT("'Data 2'!BP"&amp;IF('Plot Layout'!C10="",2,'Plot Layout'!C10+1))</f>
        <v>0</v>
      </c>
      <c r="BQ3">
        <f ca="1">INDIRECT("'Data 2'!BQ"&amp;IF('Plot Layout'!C10="",2,'Plot Layout'!C10+1))</f>
        <v>0</v>
      </c>
      <c r="BR3">
        <f ca="1">INDIRECT("'Data 2'!BR"&amp;IF('Plot Layout'!C10="",2,'Plot Layout'!C10+1))</f>
        <v>0</v>
      </c>
      <c r="BS3">
        <f ca="1">INDIRECT("'Data 2'!BS"&amp;IF('Plot Layout'!C10="",2,'Plot Layout'!C10+1))</f>
        <v>0</v>
      </c>
      <c r="BT3">
        <f ca="1">INDIRECT("'Data 2'!BT"&amp;IF('Plot Layout'!C10="",2,'Plot Layout'!C10+1))</f>
        <v>0</v>
      </c>
      <c r="BU3">
        <f ca="1">INDIRECT("'Data 2'!BU"&amp;IF('Plot Layout'!C10="",2,'Plot Layout'!C10+1))</f>
        <v>0</v>
      </c>
      <c r="BV3">
        <f ca="1">INDIRECT("'Data 2'!BV"&amp;IF('Plot Layout'!C10="",2,'Plot Layout'!C10+1))</f>
        <v>0</v>
      </c>
      <c r="BW3">
        <f ca="1">INDIRECT("'Data 2'!BW"&amp;IF('Plot Layout'!C10="",2,'Plot Layout'!C10+1))</f>
        <v>0</v>
      </c>
      <c r="BX3">
        <f ca="1">INDIRECT("'Data 2'!BX"&amp;IF('Plot Layout'!C10="",2,'Plot Layout'!C10+1))</f>
        <v>0</v>
      </c>
      <c r="BY3">
        <f ca="1">INDIRECT("'Data 2'!BY"&amp;IF('Plot Layout'!C10="",2,'Plot Layout'!C10+1))</f>
        <v>0</v>
      </c>
      <c r="BZ3">
        <f ca="1">INDIRECT("'Data 2'!BZ"&amp;IF('Plot Layout'!C10="",2,'Plot Layout'!C10+1))</f>
        <v>0</v>
      </c>
      <c r="CA3">
        <f ca="1">INDIRECT("'Data 2'!CA"&amp;IF('Plot Layout'!C10="",2,'Plot Layout'!C10+1))</f>
        <v>0</v>
      </c>
      <c r="CB3">
        <f ca="1">INDIRECT("'Data 2'!CB"&amp;IF('Plot Layout'!C10="",2,'Plot Layout'!C10+1))</f>
        <v>0</v>
      </c>
      <c r="CC3">
        <f ca="1">INDIRECT("'Data 2'!CC"&amp;IF('Plot Layout'!C10="",2,'Plot Layout'!C10+1))</f>
        <v>0</v>
      </c>
      <c r="CD3">
        <f ca="1">INDIRECT("'Data 2'!CD"&amp;IF('Plot Layout'!C10="",2,'Plot Layout'!C10+1))</f>
        <v>0</v>
      </c>
      <c r="CE3">
        <f ca="1">INDIRECT("'Data 2'!CE"&amp;IF('Plot Layout'!C10="",2,'Plot Layout'!C10+1))</f>
        <v>0</v>
      </c>
      <c r="CF3">
        <f ca="1">INDIRECT("'Data 2'!CF"&amp;IF('Plot Layout'!C10="",2,'Plot Layout'!C10+1))</f>
        <v>0</v>
      </c>
      <c r="CG3">
        <f ca="1">INDIRECT("'Data 2'!CG"&amp;IF('Plot Layout'!C10="",2,'Plot Layout'!C10+1))</f>
        <v>0</v>
      </c>
      <c r="CH3">
        <f ca="1">INDIRECT("'Data 2'!CH"&amp;IF('Plot Layout'!C10="",2,'Plot Layout'!C10+1))</f>
        <v>0</v>
      </c>
      <c r="CI3">
        <f ca="1">INDIRECT("'Data 2'!CI"&amp;IF('Plot Layout'!C10="",2,'Plot Layout'!C10+1))</f>
        <v>0</v>
      </c>
      <c r="CJ3">
        <f ca="1">INDIRECT("'Data 2'!CJ"&amp;IF('Plot Layout'!C10="",2,'Plot Layout'!C10+1))</f>
        <v>0</v>
      </c>
      <c r="CK3">
        <f ca="1">INDIRECT("'Data 2'!CK"&amp;IF('Plot Layout'!C10="",2,'Plot Layout'!C10+1))</f>
        <v>0</v>
      </c>
      <c r="CL3">
        <f ca="1">INDIRECT("'Data 2'!CL"&amp;IF('Plot Layout'!C10="",2,'Plot Layout'!C10+1))</f>
        <v>0</v>
      </c>
      <c r="CM3">
        <f ca="1">INDIRECT("'Data 2'!CM"&amp;IF('Plot Layout'!C10="",2,'Plot Layout'!C10+1))</f>
        <v>0</v>
      </c>
      <c r="CN3">
        <f ca="1">INDIRECT("'Data 2'!CN"&amp;IF('Plot Layout'!C10="",2,'Plot Layout'!C10+1))</f>
        <v>0</v>
      </c>
      <c r="CO3">
        <f ca="1">INDIRECT("'Data 2'!CO"&amp;IF('Plot Layout'!C10="",2,'Plot Layout'!C10+1))</f>
        <v>0</v>
      </c>
      <c r="CP3">
        <f ca="1">INDIRECT("'Data 2'!CP"&amp;IF('Plot Layout'!C10="",2,'Plot Layout'!C10+1))</f>
        <v>0</v>
      </c>
      <c r="CQ3">
        <f ca="1">INDIRECT("'Data 2'!CQ"&amp;IF('Plot Layout'!C10="",2,'Plot Layout'!C10+1))</f>
        <v>0</v>
      </c>
      <c r="CR3">
        <f ca="1">INDIRECT("'Data 2'!CR"&amp;IF('Plot Layout'!C10="",2,'Plot Layout'!C10+1))</f>
        <v>0</v>
      </c>
      <c r="CS3">
        <f ca="1">INDIRECT("'Data 2'!CS"&amp;IF('Plot Layout'!C10="",2,'Plot Layout'!C10+1))</f>
        <v>0</v>
      </c>
      <c r="CT3">
        <f ca="1">INDIRECT("'Data 2'!CT"&amp;IF('Plot Layout'!C10="",2,'Plot Layout'!C10+1))</f>
        <v>0</v>
      </c>
      <c r="CU3">
        <f ca="1">INDIRECT("'Data 2'!CU"&amp;IF('Plot Layout'!C10="",2,'Plot Layout'!C10+1))</f>
        <v>0</v>
      </c>
      <c r="CV3">
        <f ca="1">INDIRECT("'Data 2'!CV"&amp;IF('Plot Layout'!C10="",2,'Plot Layout'!C10+1))</f>
        <v>0</v>
      </c>
      <c r="CW3">
        <f ca="1">INDIRECT("'Data 2'!CW"&amp;IF('Plot Layout'!C10="",2,'Plot Layout'!C10+1))</f>
        <v>0</v>
      </c>
      <c r="CX3">
        <f ca="1">INDIRECT("'Data 2'!CX"&amp;IF('Plot Layout'!C10="",2,'Plot Layout'!C10+1))</f>
        <v>0</v>
      </c>
      <c r="CY3">
        <f ca="1">INDIRECT("'Data 2'!CY"&amp;IF('Plot Layout'!C10="",2,'Plot Layout'!C10+1))</f>
        <v>0</v>
      </c>
      <c r="CZ3">
        <f ca="1">INDIRECT("'Data 2'!CZ"&amp;IF('Plot Layout'!C10="",2,'Plot Layout'!C10+1))</f>
        <v>0</v>
      </c>
      <c r="DA3">
        <f ca="1">INDIRECT("'Data 2'!DA"&amp;IF('Plot Layout'!C10="",2,'Plot Layout'!C10+1))</f>
        <v>0</v>
      </c>
      <c r="DB3">
        <f ca="1">INDIRECT("'Data 2'!DB"&amp;IF('Plot Layout'!C10="",2,'Plot Layout'!C10+1))</f>
        <v>0</v>
      </c>
      <c r="DC3">
        <f ca="1">INDIRECT("'Data 2'!DC"&amp;IF('Plot Layout'!C10="",2,'Plot Layout'!C10+1))</f>
        <v>0</v>
      </c>
      <c r="DD3">
        <f ca="1">INDIRECT("'Data 2'!DD"&amp;IF('Plot Layout'!C10="",2,'Plot Layout'!C10+1))</f>
        <v>0</v>
      </c>
      <c r="DE3">
        <f ca="1">INDIRECT("'Data 2'!DE"&amp;IF('Plot Layout'!C10="",2,'Plot Layout'!C10+1))</f>
        <v>0</v>
      </c>
      <c r="DF3">
        <f ca="1">INDIRECT("'Data 2'!DF"&amp;IF('Plot Layout'!C10="",2,'Plot Layout'!C10+1))</f>
        <v>0</v>
      </c>
      <c r="DG3">
        <f ca="1">INDIRECT("'Data 2'!DG"&amp;IF('Plot Layout'!C10="",2,'Plot Layout'!C10+1))</f>
        <v>0</v>
      </c>
      <c r="DH3">
        <f ca="1">INDIRECT("'Data 2'!DH"&amp;IF('Plot Layout'!C10="",2,'Plot Layout'!C10+1))</f>
        <v>0</v>
      </c>
      <c r="DI3">
        <f ca="1">INDIRECT("'Data 2'!DI"&amp;IF('Plot Layout'!C10="",2,'Plot Layout'!C10+1))</f>
        <v>0</v>
      </c>
      <c r="DJ3">
        <f ca="1">INDIRECT("'Data 2'!DJ"&amp;IF('Plot Layout'!C10="",2,'Plot Layout'!C10+1))</f>
        <v>0</v>
      </c>
      <c r="DK3">
        <f ca="1">INDIRECT("'Data 2'!DK"&amp;IF('Plot Layout'!C10="",2,'Plot Layout'!C10+1))</f>
        <v>0</v>
      </c>
      <c r="DL3">
        <f ca="1">INDIRECT("'Data 2'!DL"&amp;IF('Plot Layout'!C10="",2,'Plot Layout'!C10+1))</f>
        <v>0</v>
      </c>
      <c r="DM3">
        <f ca="1">INDIRECT("'Data 2'!DM"&amp;IF('Plot Layout'!C10="",2,'Plot Layout'!C10+1))</f>
        <v>0</v>
      </c>
      <c r="DN3">
        <f ca="1">INDIRECT("'Data 2'!DN"&amp;IF('Plot Layout'!C10="",2,'Plot Layout'!C10+1))</f>
        <v>0</v>
      </c>
      <c r="DO3">
        <f ca="1">INDIRECT("'Data 2'!DO"&amp;IF('Plot Layout'!C10="",2,'Plot Layout'!C10+1))</f>
        <v>0</v>
      </c>
      <c r="DP3">
        <f ca="1">INDIRECT("'Data 2'!DP"&amp;IF('Plot Layout'!C10="",2,'Plot Layout'!C10+1))</f>
        <v>0</v>
      </c>
      <c r="DQ3">
        <f ca="1">INDIRECT("'Data 2'!DQ"&amp;IF('Plot Layout'!C10="",2,'Plot Layout'!C10+1))</f>
        <v>0</v>
      </c>
      <c r="DR3">
        <f ca="1">INDIRECT("'Data 2'!DR"&amp;IF('Plot Layout'!C10="",2,'Plot Layout'!C10+1))</f>
        <v>0</v>
      </c>
      <c r="DS3">
        <f ca="1">INDIRECT("'Data 2'!DS"&amp;IF('Plot Layout'!C10="",2,'Plot Layout'!C10+1))</f>
        <v>0</v>
      </c>
      <c r="DT3">
        <f ca="1">INDIRECT("'Data 2'!DT"&amp;IF('Plot Layout'!C10="",2,'Plot Layout'!C10+1))</f>
        <v>0</v>
      </c>
      <c r="DU3">
        <f ca="1">INDIRECT("'Data 2'!DU"&amp;IF('Plot Layout'!C10="",2,'Plot Layout'!C10+1))</f>
        <v>0</v>
      </c>
      <c r="DV3">
        <f ca="1">INDIRECT("'Data 2'!DV"&amp;IF('Plot Layout'!C10="",2,'Plot Layout'!C10+1))</f>
        <v>0</v>
      </c>
      <c r="DW3">
        <f ca="1">INDIRECT("'Data 2'!DW"&amp;IF('Plot Layout'!C10="",2,'Plot Layout'!C10+1))</f>
        <v>0</v>
      </c>
      <c r="DX3">
        <f ca="1">INDIRECT("'Data 2'!DX"&amp;IF('Plot Layout'!C10="",2,'Plot Layout'!C10+1))</f>
        <v>0</v>
      </c>
      <c r="DY3">
        <f ca="1">INDIRECT("'Data 2'!DY"&amp;IF('Plot Layout'!C10="",2,'Plot Layout'!C10+1))</f>
        <v>0</v>
      </c>
      <c r="DZ3">
        <f ca="1">INDIRECT("'Data 2'!DZ"&amp;IF('Plot Layout'!C10="",2,'Plot Layout'!C10+1))</f>
        <v>0</v>
      </c>
      <c r="EA3">
        <f ca="1">INDIRECT("'Data 2'!EA"&amp;IF('Plot Layout'!C10="",2,'Plot Layout'!C10+1))</f>
        <v>0</v>
      </c>
      <c r="EB3">
        <f ca="1">INDIRECT("'Data 2'!EB"&amp;IF('Plot Layout'!C10="",2,'Plot Layout'!C10+1))</f>
        <v>0</v>
      </c>
      <c r="EC3">
        <f ca="1">INDIRECT("'Data 2'!EC"&amp;IF('Plot Layout'!C10="",2,'Plot Layout'!C10+1))</f>
        <v>0</v>
      </c>
      <c r="ED3">
        <f ca="1">INDIRECT("'Data 2'!ED"&amp;IF('Plot Layout'!C10="",2,'Plot Layout'!C10+1))</f>
        <v>0</v>
      </c>
      <c r="EE3">
        <f ca="1">INDIRECT("'Data 2'!EE"&amp;IF('Plot Layout'!C10="",2,'Plot Layout'!C10+1))</f>
        <v>0</v>
      </c>
      <c r="EF3">
        <f ca="1">INDIRECT("'Data 2'!EF"&amp;IF('Plot Layout'!C10="",2,'Plot Layout'!C10+1))</f>
        <v>0</v>
      </c>
      <c r="EG3">
        <f ca="1">INDIRECT("'Data 2'!EG"&amp;IF('Plot Layout'!C10="",2,'Plot Layout'!C10+1))</f>
        <v>0</v>
      </c>
      <c r="EH3">
        <f ca="1">INDIRECT("'Data 2'!EH"&amp;IF('Plot Layout'!C10="",2,'Plot Layout'!C10+1))</f>
        <v>0</v>
      </c>
      <c r="EI3">
        <f ca="1">INDIRECT("'Data 2'!EI"&amp;IF('Plot Layout'!C10="",2,'Plot Layout'!C10+1))</f>
        <v>0</v>
      </c>
      <c r="EJ3">
        <f ca="1">INDIRECT("'Data 2'!EJ"&amp;IF('Plot Layout'!C10="",2,'Plot Layout'!C10+1))</f>
        <v>0</v>
      </c>
      <c r="EK3">
        <f ca="1">INDIRECT("'Data 2'!EK"&amp;IF('Plot Layout'!C10="",2,'Plot Layout'!C10+1))</f>
        <v>0</v>
      </c>
      <c r="EL3">
        <f ca="1">INDIRECT("'Data 2'!EL"&amp;IF('Plot Layout'!C10="",2,'Plot Layout'!C10+1))</f>
        <v>0</v>
      </c>
      <c r="EM3">
        <f ca="1">INDIRECT("'Data 2'!EM"&amp;IF('Plot Layout'!C10="",2,'Plot Layout'!C10+1))</f>
        <v>0</v>
      </c>
      <c r="EN3">
        <f ca="1">INDIRECT("'Data 2'!EN"&amp;IF('Plot Layout'!C10="",2,'Plot Layout'!C10+1))</f>
        <v>0</v>
      </c>
      <c r="EO3">
        <f ca="1">INDIRECT("'Data 2'!EO"&amp;IF('Plot Layout'!C10="",2,'Plot Layout'!C10+1))</f>
        <v>0</v>
      </c>
      <c r="EP3">
        <f ca="1">INDIRECT("'Data 2'!EP"&amp;IF('Plot Layout'!C10="",2,'Plot Layout'!C10+1))</f>
        <v>0</v>
      </c>
      <c r="EQ3">
        <f ca="1">INDIRECT("'Data 2'!EQ"&amp;IF('Plot Layout'!C10="",2,'Plot Layout'!C10+1))</f>
        <v>0</v>
      </c>
      <c r="ER3">
        <f ca="1">INDIRECT("'Data 2'!ER"&amp;IF('Plot Layout'!C10="",2,'Plot Layout'!C10+1))</f>
        <v>0</v>
      </c>
      <c r="ES3">
        <f ca="1">INDIRECT("'Data 2'!ES"&amp;IF('Plot Layout'!C10="",2,'Plot Layout'!C10+1))</f>
        <v>0</v>
      </c>
      <c r="ET3">
        <f ca="1">INDIRECT("'Data 2'!ET"&amp;IF('Plot Layout'!C10="",2,'Plot Layout'!C10+1))</f>
        <v>0</v>
      </c>
      <c r="EU3">
        <f ca="1">INDIRECT("'Data 2'!EU"&amp;IF('Plot Layout'!C10="",2,'Plot Layout'!C10+1))</f>
        <v>0</v>
      </c>
      <c r="EV3">
        <f ca="1">INDIRECT("'Data 2'!EV"&amp;IF('Plot Layout'!C10="",2,'Plot Layout'!C10+1))</f>
        <v>0</v>
      </c>
      <c r="EW3">
        <f ca="1">INDIRECT("'Data 2'!EW"&amp;IF('Plot Layout'!C10="",2,'Plot Layout'!C10+1))</f>
        <v>0</v>
      </c>
      <c r="EX3">
        <f ca="1">INDIRECT("'Data 2'!EX"&amp;IF('Plot Layout'!C10="",2,'Plot Layout'!C10+1))</f>
        <v>0</v>
      </c>
      <c r="EY3">
        <f ca="1">INDIRECT("'Data 2'!EY"&amp;IF('Plot Layout'!C10="",2,'Plot Layout'!C10+1))</f>
        <v>0</v>
      </c>
      <c r="EZ3">
        <f ca="1">INDIRECT("'Data 2'!EZ"&amp;IF('Plot Layout'!C10="",2,'Plot Layout'!C10+1))</f>
        <v>0</v>
      </c>
      <c r="FA3">
        <f ca="1">INDIRECT("'Data 2'!FA"&amp;IF('Plot Layout'!C10="",2,'Plot Layout'!C10+1))</f>
        <v>0</v>
      </c>
      <c r="FB3">
        <f ca="1">INDIRECT("'Data 2'!FB"&amp;IF('Plot Layout'!C10="",2,'Plot Layout'!C10+1))</f>
        <v>0</v>
      </c>
      <c r="FC3">
        <f ca="1">INDIRECT("'Data 2'!FC"&amp;IF('Plot Layout'!C10="",2,'Plot Layout'!C10+1))</f>
        <v>0</v>
      </c>
      <c r="FD3">
        <f ca="1">INDIRECT("'Data 2'!FD"&amp;IF('Plot Layout'!C10="",2,'Plot Layout'!C10+1))</f>
        <v>0</v>
      </c>
      <c r="FE3">
        <f ca="1">INDIRECT("'Data 2'!FE"&amp;IF('Plot Layout'!C10="",2,'Plot Layout'!C10+1))</f>
        <v>0</v>
      </c>
      <c r="FF3">
        <f ca="1">INDIRECT("'Data 2'!FF"&amp;IF('Plot Layout'!C10="",2,'Plot Layout'!C10+1))</f>
        <v>0</v>
      </c>
      <c r="FG3">
        <f ca="1">INDIRECT("'Data 2'!FG"&amp;IF('Plot Layout'!C10="",2,'Plot Layout'!C10+1))</f>
        <v>0</v>
      </c>
      <c r="FH3">
        <f ca="1">INDIRECT("'Data 2'!FH"&amp;IF('Plot Layout'!C10="",2,'Plot Layout'!C10+1))</f>
        <v>0</v>
      </c>
      <c r="FI3">
        <f ca="1">INDIRECT("'Data 2'!FI"&amp;IF('Plot Layout'!C10="",2,'Plot Layout'!C10+1))</f>
        <v>0</v>
      </c>
      <c r="FJ3">
        <f ca="1">INDIRECT("'Data 2'!FJ"&amp;IF('Plot Layout'!C10="",2,'Plot Layout'!C10+1))</f>
        <v>0</v>
      </c>
      <c r="FK3">
        <f ca="1">INDIRECT("'Data 2'!FK"&amp;IF('Plot Layout'!C10="",2,'Plot Layout'!C10+1))</f>
        <v>0</v>
      </c>
      <c r="FL3">
        <f ca="1">INDIRECT("'Data 2'!FL"&amp;IF('Plot Layout'!C10="",2,'Plot Layout'!C10+1))</f>
        <v>0</v>
      </c>
      <c r="FM3">
        <f ca="1">INDIRECT("'Data 2'!FM"&amp;IF('Plot Layout'!C10="",2,'Plot Layout'!C10+1))</f>
        <v>0</v>
      </c>
      <c r="FN3">
        <f ca="1">INDIRECT("'Data 2'!FN"&amp;IF('Plot Layout'!C10="",2,'Plot Layout'!C10+1))</f>
        <v>0</v>
      </c>
      <c r="FO3">
        <f ca="1">INDIRECT("'Data 2'!FO"&amp;IF('Plot Layout'!C10="",2,'Plot Layout'!C10+1))</f>
        <v>0</v>
      </c>
      <c r="FP3">
        <f ca="1">INDIRECT("'Data 2'!FP"&amp;IF('Plot Layout'!C10="",2,'Plot Layout'!C10+1))</f>
        <v>0</v>
      </c>
      <c r="FQ3">
        <f ca="1">INDIRECT("'Data 2'!FQ"&amp;IF('Plot Layout'!C10="",2,'Plot Layout'!C10+1))</f>
        <v>0</v>
      </c>
      <c r="FR3">
        <f ca="1">INDIRECT("'Data 2'!FR"&amp;IF('Plot Layout'!C10="",2,'Plot Layout'!C10+1))</f>
        <v>0</v>
      </c>
      <c r="FS3">
        <f ca="1">INDIRECT("'Data 2'!FS"&amp;IF('Plot Layout'!C10="",2,'Plot Layout'!C10+1))</f>
        <v>0</v>
      </c>
      <c r="FT3">
        <f ca="1">INDIRECT("'Data 2'!FT"&amp;IF('Plot Layout'!C10="",2,'Plot Layout'!C10+1))</f>
        <v>0</v>
      </c>
      <c r="FU3">
        <f ca="1">INDIRECT("'Data 2'!FU"&amp;IF('Plot Layout'!C10="",2,'Plot Layout'!C10+1))</f>
        <v>0</v>
      </c>
      <c r="FV3">
        <f ca="1">INDIRECT("'Data 2'!FV"&amp;IF('Plot Layout'!C10="",2,'Plot Layout'!C10+1))</f>
        <v>0</v>
      </c>
      <c r="FW3">
        <f ca="1">INDIRECT("'Data 2'!FW"&amp;IF('Plot Layout'!C10="",2,'Plot Layout'!C10+1))</f>
        <v>0</v>
      </c>
      <c r="FX3">
        <f ca="1">INDIRECT("'Data 2'!FX"&amp;IF('Plot Layout'!C10="",2,'Plot Layout'!C10+1))</f>
        <v>0</v>
      </c>
      <c r="FY3">
        <f ca="1">INDIRECT("'Data 2'!FY"&amp;IF('Plot Layout'!C10="",2,'Plot Layout'!C10+1))</f>
        <v>0</v>
      </c>
      <c r="FZ3">
        <f ca="1">INDIRECT("'Data 2'!FZ"&amp;IF('Plot Layout'!C10="",2,'Plot Layout'!C10+1))</f>
        <v>0</v>
      </c>
      <c r="GA3">
        <f ca="1">INDIRECT("'Data 2'!GA"&amp;IF('Plot Layout'!C10="",2,'Plot Layout'!C10+1))</f>
        <v>0</v>
      </c>
      <c r="GB3">
        <f ca="1">INDIRECT("'Data 2'!GB"&amp;IF('Plot Layout'!C10="",2,'Plot Layout'!C10+1))</f>
        <v>0</v>
      </c>
      <c r="GC3">
        <f ca="1">INDIRECT("'Data 2'!GC"&amp;IF('Plot Layout'!C10="",2,'Plot Layout'!C10+1))</f>
        <v>0</v>
      </c>
      <c r="GD3">
        <f ca="1">INDIRECT("'Data 2'!GD"&amp;IF('Plot Layout'!C10="",2,'Plot Layout'!C10+1))</f>
        <v>0</v>
      </c>
      <c r="GE3">
        <f ca="1">INDIRECT("'Data 2'!GE"&amp;IF('Plot Layout'!C10="",2,'Plot Layout'!C10+1))</f>
        <v>0</v>
      </c>
      <c r="GF3">
        <f ca="1">INDIRECT("'Data 2'!GF"&amp;IF('Plot Layout'!C10="",2,'Plot Layout'!C10+1))</f>
        <v>0</v>
      </c>
      <c r="GG3">
        <f ca="1">INDIRECT("'Data 2'!GG"&amp;IF('Plot Layout'!C10="",2,'Plot Layout'!C10+1))</f>
        <v>0</v>
      </c>
      <c r="GH3">
        <f ca="1">INDIRECT("'Data 2'!GH"&amp;IF('Plot Layout'!C10="",2,'Plot Layout'!C10+1))</f>
        <v>0</v>
      </c>
      <c r="GI3">
        <f ca="1">INDIRECT("'Data 2'!GI"&amp;IF('Plot Layout'!C10="",2,'Plot Layout'!C10+1))</f>
        <v>0</v>
      </c>
      <c r="GJ3">
        <f ca="1">INDIRECT("'Data 2'!GJ"&amp;IF('Plot Layout'!C10="",2,'Plot Layout'!C10+1))</f>
        <v>0</v>
      </c>
      <c r="GK3">
        <f ca="1">INDIRECT("'Data 2'!GK"&amp;IF('Plot Layout'!C10="",2,'Plot Layout'!C10+1))</f>
        <v>0</v>
      </c>
      <c r="GL3">
        <f ca="1">INDIRECT("'Data 2'!GL"&amp;IF('Plot Layout'!C10="",2,'Plot Layout'!C10+1))</f>
        <v>0</v>
      </c>
      <c r="GM3">
        <f ca="1">INDIRECT("'Data 2'!GM"&amp;IF('Plot Layout'!C10="",2,'Plot Layout'!C10+1))</f>
        <v>0</v>
      </c>
      <c r="GN3">
        <f ca="1">INDIRECT("'Data 2'!GN"&amp;IF('Plot Layout'!C10="",2,'Plot Layout'!C10+1))</f>
        <v>0</v>
      </c>
      <c r="GO3">
        <f ca="1">INDIRECT("'Data 2'!GO"&amp;IF('Plot Layout'!C10="",2,'Plot Layout'!C10+1))</f>
        <v>0</v>
      </c>
      <c r="GP3">
        <f ca="1">INDIRECT("'Data 2'!GP"&amp;IF('Plot Layout'!C10="",2,'Plot Layout'!C10+1))</f>
        <v>0</v>
      </c>
      <c r="GQ3">
        <f ca="1">INDIRECT("'Data 2'!GQ"&amp;IF('Plot Layout'!C10="",2,'Plot Layout'!C10+1))</f>
        <v>0</v>
      </c>
      <c r="GR3">
        <f ca="1">INDIRECT("'Data 2'!GR"&amp;IF('Plot Layout'!C10="",2,'Plot Layout'!C10+1))</f>
        <v>0</v>
      </c>
      <c r="GS3">
        <f ca="1">INDIRECT("'Data 2'!GS"&amp;IF('Plot Layout'!C10="",2,'Plot Layout'!C10+1))</f>
        <v>0</v>
      </c>
      <c r="GT3">
        <f ca="1">INDIRECT("'Data 2'!GT"&amp;IF('Plot Layout'!C10="",2,'Plot Layout'!C10+1))</f>
        <v>0</v>
      </c>
      <c r="GU3">
        <f ca="1">INDIRECT("'Data 2'!GU"&amp;IF('Plot Layout'!C10="",2,'Plot Layout'!C10+1))</f>
        <v>0</v>
      </c>
      <c r="GV3">
        <f ca="1">INDIRECT("'Data 2'!GV"&amp;IF('Plot Layout'!C10="",2,'Plot Layout'!C10+1))</f>
        <v>0</v>
      </c>
      <c r="GW3">
        <f ca="1">INDIRECT("'Data 2'!GW"&amp;IF('Plot Layout'!C10="",2,'Plot Layout'!C10+1))</f>
        <v>0</v>
      </c>
      <c r="GX3">
        <f ca="1">INDIRECT("'Data 2'!GX"&amp;IF('Plot Layout'!C10="",2,'Plot Layout'!C10+1))</f>
        <v>0</v>
      </c>
      <c r="GY3">
        <f ca="1">INDIRECT("'Data 2'!GY"&amp;IF('Plot Layout'!C10="",2,'Plot Layout'!C10+1))</f>
        <v>0</v>
      </c>
      <c r="GZ3">
        <f ca="1">INDIRECT("'Data 2'!GZ"&amp;IF('Plot Layout'!C10="",2,'Plot Layout'!C10+1))</f>
        <v>0</v>
      </c>
      <c r="HA3">
        <f ca="1">INDIRECT("'Data 2'!HA"&amp;IF('Plot Layout'!C10="",2,'Plot Layout'!C10+1))</f>
        <v>0</v>
      </c>
      <c r="HB3">
        <f ca="1">INDIRECT("'Data 2'!HB"&amp;IF('Plot Layout'!C10="",2,'Plot Layout'!C10+1))</f>
        <v>0</v>
      </c>
      <c r="HC3">
        <f ca="1">INDIRECT("'Data 2'!HC"&amp;IF('Plot Layout'!C10="",2,'Plot Layout'!C10+1))</f>
        <v>0</v>
      </c>
      <c r="HD3">
        <f ca="1">INDIRECT("'Data 2'!HD"&amp;IF('Plot Layout'!C10="",2,'Plot Layout'!C10+1))</f>
        <v>0</v>
      </c>
      <c r="HE3">
        <f ca="1">INDIRECT("'Data 2'!HE"&amp;IF('Plot Layout'!C10="",2,'Plot Layout'!C10+1))</f>
        <v>0</v>
      </c>
      <c r="HF3">
        <f ca="1">INDIRECT("'Data 2'!HF"&amp;IF('Plot Layout'!C10="",2,'Plot Layout'!C10+1))</f>
        <v>0</v>
      </c>
      <c r="HG3">
        <f ca="1">INDIRECT("'Data 2'!HG"&amp;IF('Plot Layout'!C10="",2,'Plot Layout'!C10+1))</f>
        <v>0</v>
      </c>
      <c r="HH3">
        <f ca="1">INDIRECT("'Data 2'!HH"&amp;IF('Plot Layout'!C10="",2,'Plot Layout'!C10+1))</f>
        <v>0</v>
      </c>
      <c r="HI3">
        <f ca="1">INDIRECT("'Data 2'!HI"&amp;IF('Plot Layout'!C10="",2,'Plot Layout'!C10+1))</f>
        <v>0</v>
      </c>
      <c r="HJ3">
        <f ca="1">INDIRECT("'Data 2'!HJ"&amp;IF('Plot Layout'!C10="",2,'Plot Layout'!C10+1))</f>
        <v>0</v>
      </c>
      <c r="HK3">
        <f ca="1">INDIRECT("'Data 2'!HK"&amp;IF('Plot Layout'!C10="",2,'Plot Layout'!C10+1))</f>
        <v>0</v>
      </c>
      <c r="HL3">
        <f ca="1">INDIRECT("'Data 2'!HL"&amp;IF('Plot Layout'!C10="",2,'Plot Layout'!C10+1))</f>
        <v>0</v>
      </c>
      <c r="HM3">
        <f ca="1">INDIRECT("'Data 2'!HM"&amp;IF('Plot Layout'!C10="",2,'Plot Layout'!C10+1))</f>
        <v>0</v>
      </c>
      <c r="HN3">
        <f ca="1">INDIRECT("'Data 2'!HN"&amp;IF('Plot Layout'!C10="",2,'Plot Layout'!C10+1))</f>
        <v>0</v>
      </c>
      <c r="HO3">
        <f ca="1">INDIRECT("'Data 2'!HO"&amp;IF('Plot Layout'!C10="",2,'Plot Layout'!C10+1))</f>
        <v>0</v>
      </c>
      <c r="HP3">
        <f ca="1">INDIRECT("'Data 2'!HP"&amp;IF('Plot Layout'!C10="",2,'Plot Layout'!C10+1))</f>
        <v>0</v>
      </c>
      <c r="HQ3">
        <f ca="1">INDIRECT("'Data 2'!HQ"&amp;IF('Plot Layout'!C10="",2,'Plot Layout'!C10+1))</f>
        <v>0</v>
      </c>
      <c r="HR3">
        <f ca="1">INDIRECT("'Data 2'!HR"&amp;IF('Plot Layout'!C10="",2,'Plot Layout'!C10+1))</f>
        <v>0</v>
      </c>
      <c r="HS3">
        <f ca="1">INDIRECT("'Data 2'!HS"&amp;IF('Plot Layout'!C10="",2,'Plot Layout'!C10+1))</f>
        <v>0</v>
      </c>
      <c r="HT3">
        <f ca="1">INDIRECT("'Data 2'!HT"&amp;IF('Plot Layout'!C10="",2,'Plot Layout'!C10+1))</f>
        <v>0</v>
      </c>
      <c r="HU3">
        <f ca="1">INDIRECT("'Data 2'!HU"&amp;IF('Plot Layout'!C10="",2,'Plot Layout'!C10+1))</f>
        <v>0</v>
      </c>
      <c r="HV3">
        <f ca="1">INDIRECT("'Data 2'!HV"&amp;IF('Plot Layout'!C10="",2,'Plot Layout'!C10+1))</f>
        <v>0</v>
      </c>
      <c r="HW3">
        <f ca="1">INDIRECT("'Data 2'!HW"&amp;IF('Plot Layout'!C10="",2,'Plot Layout'!C10+1))</f>
        <v>0</v>
      </c>
      <c r="HX3">
        <f ca="1">INDIRECT("'Data 2'!HX"&amp;IF('Plot Layout'!C10="",2,'Plot Layout'!C10+1))</f>
        <v>0</v>
      </c>
      <c r="HY3">
        <f ca="1">INDIRECT("'Data 2'!HY"&amp;IF('Plot Layout'!C10="",2,'Plot Layout'!C10+1))</f>
        <v>0</v>
      </c>
      <c r="HZ3">
        <f ca="1">INDIRECT("'Data 2'!HZ"&amp;IF('Plot Layout'!C10="",2,'Plot Layout'!C10+1))</f>
        <v>0</v>
      </c>
      <c r="IA3">
        <f ca="1">INDIRECT("'Data 2'!IA"&amp;IF('Plot Layout'!C10="",2,'Plot Layout'!C10+1))</f>
        <v>0</v>
      </c>
      <c r="IB3">
        <f ca="1">INDIRECT("'Data 2'!IB"&amp;IF('Plot Layout'!C10="",2,'Plot Layout'!C10+1))</f>
        <v>0</v>
      </c>
      <c r="IC3">
        <f ca="1">INDIRECT("'Data 2'!IC"&amp;IF('Plot Layout'!C10="",2,'Plot Layout'!C10+1))</f>
        <v>0</v>
      </c>
      <c r="ID3">
        <f ca="1">INDIRECT("'Data 2'!ID"&amp;IF('Plot Layout'!C10="",2,'Plot Layout'!C10+1))</f>
        <v>0</v>
      </c>
      <c r="IE3">
        <f ca="1">INDIRECT("'Data 2'!IE"&amp;IF('Plot Layout'!C10="",2,'Plot Layout'!C10+1))</f>
        <v>0</v>
      </c>
      <c r="IF3">
        <f ca="1">INDIRECT("'Data 2'!IF"&amp;IF('Plot Layout'!C10="",2,'Plot Layout'!C10+1))</f>
        <v>0</v>
      </c>
      <c r="IG3">
        <f ca="1">INDIRECT("'Data 2'!IG"&amp;IF('Plot Layout'!C10="",2,'Plot Layout'!C10+1))</f>
        <v>0</v>
      </c>
      <c r="IH3">
        <f ca="1">INDIRECT("'Data 2'!IH"&amp;IF('Plot Layout'!C10="",2,'Plot Layout'!C10+1))</f>
        <v>0</v>
      </c>
      <c r="II3">
        <f ca="1">INDIRECT("'Data 2'!II"&amp;IF('Plot Layout'!C10="",2,'Plot Layout'!C10+1))</f>
        <v>0</v>
      </c>
      <c r="IJ3">
        <f ca="1">INDIRECT("'Data 2'!IJ"&amp;IF('Plot Layout'!C10="",2,'Plot Layout'!C10+1))</f>
        <v>0</v>
      </c>
      <c r="IK3">
        <f ca="1">INDIRECT("'Data 2'!IK"&amp;IF('Plot Layout'!C10="",2,'Plot Layout'!C10+1))</f>
        <v>0</v>
      </c>
      <c r="IL3">
        <f ca="1">INDIRECT("'Data 2'!IL"&amp;IF('Plot Layout'!C10="",2,'Plot Layout'!C10+1))</f>
        <v>0</v>
      </c>
      <c r="IM3">
        <f ca="1">INDIRECT("'Data 2'!IM"&amp;IF('Plot Layout'!C10="",2,'Plot Layout'!C10+1))</f>
        <v>0</v>
      </c>
      <c r="IN3">
        <f ca="1">INDIRECT("'Data 2'!IN"&amp;IF('Plot Layout'!C10="",2,'Plot Layout'!C10+1))</f>
        <v>0</v>
      </c>
      <c r="IO3">
        <f ca="1">INDIRECT("'Data 2'!IO"&amp;IF('Plot Layout'!C10="",2,'Plot Layout'!C10+1))</f>
        <v>0</v>
      </c>
      <c r="IP3">
        <f ca="1">INDIRECT("'Data 2'!IP"&amp;IF('Plot Layout'!C10="",2,'Plot Layout'!C10+1))</f>
        <v>0</v>
      </c>
      <c r="IQ3">
        <f ca="1">INDIRECT("'Data 2'!IQ"&amp;IF('Plot Layout'!C10="",2,'Plot Layout'!C10+1))</f>
        <v>0</v>
      </c>
      <c r="IR3">
        <f ca="1">INDIRECT("'Data 2'!IR"&amp;IF('Plot Layout'!C10="",2,'Plot Layout'!C10+1))</f>
        <v>0</v>
      </c>
      <c r="IS3">
        <f ca="1">INDIRECT("'Data 2'!IS"&amp;IF('Plot Layout'!C10="",2,'Plot Layout'!C10+1))</f>
        <v>0</v>
      </c>
      <c r="IT3">
        <f ca="1">INDIRECT("'Data 2'!IT"&amp;IF('Plot Layout'!C10="",2,'Plot Layout'!C10+1))</f>
        <v>0</v>
      </c>
      <c r="IU3">
        <f ca="1">INDIRECT("'Data 2'!IU"&amp;IF('Plot Layout'!C10="",2,'Plot Layout'!C10+1))</f>
        <v>0</v>
      </c>
      <c r="IV3">
        <f ca="1">INDIRECT("'Data 2'!IV"&amp;IF('Plot Layout'!C10="",2,'Plot Layout'!C10+1))</f>
        <v>0</v>
      </c>
    </row>
    <row r="4" spans="1:256">
      <c r="A4">
        <f ca="1">INDIRECT("'Data 3'!A"&amp;IF('Plot Layout'!D10="",2,'Plot Layout'!D10+1))</f>
        <v>45</v>
      </c>
      <c r="B4">
        <f ca="1">INDIRECT("'Data 3'!B"&amp;IF('Plot Layout'!D10="",2,'Plot Layout'!D10+1))</f>
        <v>1.5</v>
      </c>
      <c r="C4" t="str">
        <f ca="1">INDIRECT("'Data 3'!C"&amp;IF('Plot Layout'!D10="",2,'Plot Layout'!D10+1))</f>
        <v>65-410</v>
      </c>
      <c r="D4">
        <f ca="1">INDIRECT("'Data 3'!D"&amp;IF('Plot Layout'!D10="",2,'Plot Layout'!D10+1))</f>
        <v>6.7000000000000002E-3</v>
      </c>
      <c r="E4">
        <f ca="1">INDIRECT("'Data 3'!E"&amp;IF('Plot Layout'!D10="",2,'Plot Layout'!D10+1))</f>
        <v>1.5E-3</v>
      </c>
      <c r="F4">
        <f ca="1">INDIRECT("'Data 3'!F"&amp;IF('Plot Layout'!D10="",2,'Plot Layout'!D10+1))</f>
        <v>0.1</v>
      </c>
      <c r="G4">
        <f ca="1">INDIRECT("'Data 3'!G"&amp;IF('Plot Layout'!D10="",2,'Plot Layout'!D10+1))</f>
        <v>4</v>
      </c>
      <c r="H4">
        <f ca="1">INDIRECT("'Data 3'!H"&amp;IF('Plot Layout'!D10="",2,'Plot Layout'!D10+1))</f>
        <v>0</v>
      </c>
      <c r="I4">
        <f ca="1">INDIRECT("'Data 3'!I"&amp;IF('Plot Layout'!D10="",2,'Plot Layout'!D10+1))</f>
        <v>4.5999999999999996</v>
      </c>
      <c r="J4">
        <f ca="1">INDIRECT("'Data 3'!J"&amp;IF('Plot Layout'!D10="",2,'Plot Layout'!D10+1))</f>
        <v>9.5</v>
      </c>
      <c r="K4">
        <f ca="1">INDIRECT("'Data 3'!K"&amp;IF('Plot Layout'!D10="",2,'Plot Layout'!D10+1))</f>
        <v>22.8</v>
      </c>
      <c r="L4">
        <f ca="1">INDIRECT("'Data 3'!L"&amp;IF('Plot Layout'!D10="",2,'Plot Layout'!D10+1))</f>
        <v>15.6</v>
      </c>
      <c r="M4">
        <f ca="1">INDIRECT("'Data 3'!M"&amp;IF('Plot Layout'!D10="",2,'Plot Layout'!D10+1))</f>
        <v>0.56399999999999995</v>
      </c>
      <c r="N4">
        <f ca="1">INDIRECT("'Data 3'!N"&amp;IF('Plot Layout'!D10="",2,'Plot Layout'!D10+1))</f>
        <v>1.1619999999999999</v>
      </c>
      <c r="O4">
        <f ca="1">INDIRECT("'Data 3'!O"&amp;IF('Plot Layout'!D10="",2,'Plot Layout'!D10+1))</f>
        <v>-1</v>
      </c>
      <c r="P4">
        <f ca="1">INDIRECT("'Data 3'!P"&amp;IF('Plot Layout'!D10="",2,'Plot Layout'!D10+1))</f>
        <v>2</v>
      </c>
      <c r="Q4">
        <f ca="1">INDIRECT("'Data 3'!Q"&amp;IF('Plot Layout'!D10="",2,'Plot Layout'!D10+1))</f>
        <v>1.15E-2</v>
      </c>
      <c r="R4">
        <f ca="1">INDIRECT("'Data 3'!R"&amp;IF('Plot Layout'!D10="",2,'Plot Layout'!D10+1))</f>
        <v>0</v>
      </c>
      <c r="S4">
        <f ca="1">INDIRECT("'Data 3'!S"&amp;IF('Plot Layout'!D10="",2,'Plot Layout'!D10+1))</f>
        <v>0</v>
      </c>
      <c r="T4">
        <f ca="1">INDIRECT("'Data 3'!T"&amp;IF('Plot Layout'!D10="",2,'Plot Layout'!D10+1))</f>
        <v>0</v>
      </c>
      <c r="U4">
        <f ca="1">INDIRECT("'Data 3'!U"&amp;IF('Plot Layout'!D10="",2,'Plot Layout'!D10+1))</f>
        <v>0</v>
      </c>
      <c r="V4">
        <f ca="1">INDIRECT("'Data 3'!V"&amp;IF('Plot Layout'!D10="",2,'Plot Layout'!D10+1))</f>
        <v>0</v>
      </c>
      <c r="W4">
        <f ca="1">INDIRECT("'Data 3'!W"&amp;IF('Plot Layout'!D10="",2,'Plot Layout'!D10+1))</f>
        <v>0</v>
      </c>
      <c r="X4">
        <f ca="1">INDIRECT("'Data 3'!X"&amp;IF('Plot Layout'!D10="",2,'Plot Layout'!D10+1))</f>
        <v>0</v>
      </c>
      <c r="Y4">
        <f ca="1">INDIRECT("'Data 3'!Y"&amp;IF('Plot Layout'!D10="",2,'Plot Layout'!D10+1))</f>
        <v>0</v>
      </c>
      <c r="Z4">
        <f ca="1">INDIRECT("'Data 3'!Z"&amp;IF('Plot Layout'!D10="",2,'Plot Layout'!D10+1))</f>
        <v>0</v>
      </c>
      <c r="AA4">
        <f ca="1">INDIRECT("'Data 3'!AA"&amp;IF('Plot Layout'!D10="",2,'Plot Layout'!D10+1))</f>
        <v>0</v>
      </c>
      <c r="AB4">
        <f ca="1">INDIRECT("'Data 3'!AB"&amp;IF('Plot Layout'!D10="",2,'Plot Layout'!D10+1))</f>
        <v>0</v>
      </c>
      <c r="AC4">
        <f ca="1">INDIRECT("'Data 3'!AC"&amp;IF('Plot Layout'!D10="",2,'Plot Layout'!D10+1))</f>
        <v>0</v>
      </c>
      <c r="AD4">
        <f ca="1">INDIRECT("'Data 3'!AD"&amp;IF('Plot Layout'!D10="",2,'Plot Layout'!D10+1))</f>
        <v>0</v>
      </c>
      <c r="AE4">
        <f ca="1">INDIRECT("'Data 3'!AE"&amp;IF('Plot Layout'!D10="",2,'Plot Layout'!D10+1))</f>
        <v>0</v>
      </c>
      <c r="AF4">
        <f ca="1">INDIRECT("'Data 3'!AF"&amp;IF('Plot Layout'!D10="",2,'Plot Layout'!D10+1))</f>
        <v>0</v>
      </c>
      <c r="AG4">
        <f ca="1">INDIRECT("'Data 3'!AG"&amp;IF('Plot Layout'!D10="",2,'Plot Layout'!D10+1))</f>
        <v>0</v>
      </c>
      <c r="AH4">
        <f ca="1">INDIRECT("'Data 3'!AH"&amp;IF('Plot Layout'!D10="",2,'Plot Layout'!D10+1))</f>
        <v>0</v>
      </c>
      <c r="AI4">
        <f ca="1">INDIRECT("'Data 3'!AI"&amp;IF('Plot Layout'!D10="",2,'Plot Layout'!D10+1))</f>
        <v>0</v>
      </c>
      <c r="AJ4">
        <f ca="1">INDIRECT("'Data 3'!AJ"&amp;IF('Plot Layout'!D10="",2,'Plot Layout'!D10+1))</f>
        <v>0</v>
      </c>
      <c r="AK4">
        <f ca="1">INDIRECT("'Data 3'!AK"&amp;IF('Plot Layout'!D10="",2,'Plot Layout'!D10+1))</f>
        <v>0</v>
      </c>
      <c r="AL4">
        <f ca="1">INDIRECT("'Data 3'!AL"&amp;IF('Plot Layout'!D10="",2,'Plot Layout'!D10+1))</f>
        <v>0</v>
      </c>
      <c r="AM4">
        <f ca="1">INDIRECT("'Data 3'!AM"&amp;IF('Plot Layout'!D10="",2,'Plot Layout'!D10+1))</f>
        <v>0</v>
      </c>
      <c r="AN4">
        <f ca="1">INDIRECT("'Data 3'!AN"&amp;IF('Plot Layout'!D10="",2,'Plot Layout'!D10+1))</f>
        <v>0</v>
      </c>
      <c r="AO4">
        <f ca="1">INDIRECT("'Data 3'!AO"&amp;IF('Plot Layout'!D10="",2,'Plot Layout'!D10+1))</f>
        <v>0</v>
      </c>
      <c r="AP4">
        <f ca="1">INDIRECT("'Data 3'!AP"&amp;IF('Plot Layout'!D10="",2,'Plot Layout'!D10+1))</f>
        <v>0</v>
      </c>
      <c r="AQ4">
        <f ca="1">INDIRECT("'Data 3'!AQ"&amp;IF('Plot Layout'!D10="",2,'Plot Layout'!D10+1))</f>
        <v>0</v>
      </c>
      <c r="AR4">
        <f ca="1">INDIRECT("'Data 3'!AR"&amp;IF('Plot Layout'!D10="",2,'Plot Layout'!D10+1))</f>
        <v>0</v>
      </c>
      <c r="AS4">
        <f ca="1">INDIRECT("'Data 3'!AS"&amp;IF('Plot Layout'!D10="",2,'Plot Layout'!D10+1))</f>
        <v>0</v>
      </c>
      <c r="AT4">
        <f ca="1">INDIRECT("'Data 3'!AT"&amp;IF('Plot Layout'!D10="",2,'Plot Layout'!D10+1))</f>
        <v>0</v>
      </c>
      <c r="AU4">
        <f ca="1">INDIRECT("'Data 3'!AU"&amp;IF('Plot Layout'!D10="",2,'Plot Layout'!D10+1))</f>
        <v>0</v>
      </c>
      <c r="AV4">
        <f ca="1">INDIRECT("'Data 3'!AV"&amp;IF('Plot Layout'!D10="",2,'Plot Layout'!D10+1))</f>
        <v>0</v>
      </c>
      <c r="AW4">
        <f ca="1">INDIRECT("'Data 3'!AW"&amp;IF('Plot Layout'!D10="",2,'Plot Layout'!D10+1))</f>
        <v>0</v>
      </c>
      <c r="AX4">
        <f ca="1">INDIRECT("'Data 3'!AX"&amp;IF('Plot Layout'!D10="",2,'Plot Layout'!D10+1))</f>
        <v>0</v>
      </c>
      <c r="AY4">
        <f ca="1">INDIRECT("'Data 3'!AY"&amp;IF('Plot Layout'!D10="",2,'Plot Layout'!D10+1))</f>
        <v>0</v>
      </c>
      <c r="AZ4">
        <f ca="1">INDIRECT("'Data 3'!AZ"&amp;IF('Plot Layout'!D10="",2,'Plot Layout'!D10+1))</f>
        <v>0</v>
      </c>
      <c r="BA4">
        <f ca="1">INDIRECT("'Data 3'!BA"&amp;IF('Plot Layout'!D10="",2,'Plot Layout'!D10+1))</f>
        <v>0</v>
      </c>
      <c r="BB4">
        <f ca="1">INDIRECT("'Data 3'!BB"&amp;IF('Plot Layout'!D10="",2,'Plot Layout'!D10+1))</f>
        <v>0</v>
      </c>
      <c r="BC4">
        <f ca="1">INDIRECT("'Data 3'!BC"&amp;IF('Plot Layout'!D10="",2,'Plot Layout'!D10+1))</f>
        <v>0</v>
      </c>
      <c r="BD4">
        <f ca="1">INDIRECT("'Data 3'!BD"&amp;IF('Plot Layout'!D10="",2,'Plot Layout'!D10+1))</f>
        <v>0</v>
      </c>
      <c r="BE4">
        <f ca="1">INDIRECT("'Data 3'!BE"&amp;IF('Plot Layout'!D10="",2,'Plot Layout'!D10+1))</f>
        <v>0</v>
      </c>
      <c r="BF4">
        <f ca="1">INDIRECT("'Data 3'!BF"&amp;IF('Plot Layout'!D10="",2,'Plot Layout'!D10+1))</f>
        <v>0</v>
      </c>
      <c r="BG4">
        <f ca="1">INDIRECT("'Data 3'!BG"&amp;IF('Plot Layout'!D10="",2,'Plot Layout'!D10+1))</f>
        <v>0</v>
      </c>
      <c r="BH4">
        <f ca="1">INDIRECT("'Data 3'!BH"&amp;IF('Plot Layout'!D10="",2,'Plot Layout'!D10+1))</f>
        <v>0</v>
      </c>
      <c r="BI4">
        <f ca="1">INDIRECT("'Data 3'!BI"&amp;IF('Plot Layout'!D10="",2,'Plot Layout'!D10+1))</f>
        <v>0</v>
      </c>
      <c r="BJ4">
        <f ca="1">INDIRECT("'Data 3'!BJ"&amp;IF('Plot Layout'!D10="",2,'Plot Layout'!D10+1))</f>
        <v>0</v>
      </c>
      <c r="BK4">
        <f ca="1">INDIRECT("'Data 3'!BK"&amp;IF('Plot Layout'!D10="",2,'Plot Layout'!D10+1))</f>
        <v>0</v>
      </c>
      <c r="BL4">
        <f ca="1">INDIRECT("'Data 3'!BL"&amp;IF('Plot Layout'!D10="",2,'Plot Layout'!D10+1))</f>
        <v>0</v>
      </c>
      <c r="BM4">
        <f ca="1">INDIRECT("'Data 3'!BM"&amp;IF('Plot Layout'!D10="",2,'Plot Layout'!D10+1))</f>
        <v>0</v>
      </c>
      <c r="BN4">
        <f ca="1">INDIRECT("'Data 3'!BN"&amp;IF('Plot Layout'!D10="",2,'Plot Layout'!D10+1))</f>
        <v>0</v>
      </c>
      <c r="BO4">
        <f ca="1">INDIRECT("'Data 3'!BO"&amp;IF('Plot Layout'!D10="",2,'Plot Layout'!D10+1))</f>
        <v>0</v>
      </c>
      <c r="BP4">
        <f ca="1">INDIRECT("'Data 3'!BP"&amp;IF('Plot Layout'!D10="",2,'Plot Layout'!D10+1))</f>
        <v>0</v>
      </c>
      <c r="BQ4">
        <f ca="1">INDIRECT("'Data 3'!BQ"&amp;IF('Plot Layout'!D10="",2,'Plot Layout'!D10+1))</f>
        <v>0</v>
      </c>
      <c r="BR4">
        <f ca="1">INDIRECT("'Data 3'!BR"&amp;IF('Plot Layout'!D10="",2,'Plot Layout'!D10+1))</f>
        <v>0</v>
      </c>
      <c r="BS4">
        <f ca="1">INDIRECT("'Data 3'!BS"&amp;IF('Plot Layout'!D10="",2,'Plot Layout'!D10+1))</f>
        <v>0</v>
      </c>
      <c r="BT4">
        <f ca="1">INDIRECT("'Data 3'!BT"&amp;IF('Plot Layout'!D10="",2,'Plot Layout'!D10+1))</f>
        <v>0</v>
      </c>
      <c r="BU4">
        <f ca="1">INDIRECT("'Data 3'!BU"&amp;IF('Plot Layout'!D10="",2,'Plot Layout'!D10+1))</f>
        <v>0</v>
      </c>
      <c r="BV4">
        <f ca="1">INDIRECT("'Data 3'!BV"&amp;IF('Plot Layout'!D10="",2,'Plot Layout'!D10+1))</f>
        <v>0</v>
      </c>
      <c r="BW4">
        <f ca="1">INDIRECT("'Data 3'!BW"&amp;IF('Plot Layout'!D10="",2,'Plot Layout'!D10+1))</f>
        <v>0</v>
      </c>
      <c r="BX4">
        <f ca="1">INDIRECT("'Data 3'!BX"&amp;IF('Plot Layout'!D10="",2,'Plot Layout'!D10+1))</f>
        <v>0</v>
      </c>
      <c r="BY4">
        <f ca="1">INDIRECT("'Data 3'!BY"&amp;IF('Plot Layout'!D10="",2,'Plot Layout'!D10+1))</f>
        <v>0</v>
      </c>
      <c r="BZ4">
        <f ca="1">INDIRECT("'Data 3'!BZ"&amp;IF('Plot Layout'!D10="",2,'Plot Layout'!D10+1))</f>
        <v>0</v>
      </c>
      <c r="CA4">
        <f ca="1">INDIRECT("'Data 3'!CA"&amp;IF('Plot Layout'!D10="",2,'Plot Layout'!D10+1))</f>
        <v>0</v>
      </c>
      <c r="CB4">
        <f ca="1">INDIRECT("'Data 3'!CB"&amp;IF('Plot Layout'!D10="",2,'Plot Layout'!D10+1))</f>
        <v>0</v>
      </c>
      <c r="CC4">
        <f ca="1">INDIRECT("'Data 3'!CC"&amp;IF('Plot Layout'!D10="",2,'Plot Layout'!D10+1))</f>
        <v>0</v>
      </c>
      <c r="CD4">
        <f ca="1">INDIRECT("'Data 3'!CD"&amp;IF('Plot Layout'!D10="",2,'Plot Layout'!D10+1))</f>
        <v>0</v>
      </c>
      <c r="CE4">
        <f ca="1">INDIRECT("'Data 3'!CE"&amp;IF('Plot Layout'!D10="",2,'Plot Layout'!D10+1))</f>
        <v>0</v>
      </c>
      <c r="CF4">
        <f ca="1">INDIRECT("'Data 3'!CF"&amp;IF('Plot Layout'!D10="",2,'Plot Layout'!D10+1))</f>
        <v>0</v>
      </c>
      <c r="CG4">
        <f ca="1">INDIRECT("'Data 3'!CG"&amp;IF('Plot Layout'!D10="",2,'Plot Layout'!D10+1))</f>
        <v>0</v>
      </c>
      <c r="CH4">
        <f ca="1">INDIRECT("'Data 3'!CH"&amp;IF('Plot Layout'!D10="",2,'Plot Layout'!D10+1))</f>
        <v>0</v>
      </c>
      <c r="CI4">
        <f ca="1">INDIRECT("'Data 3'!CI"&amp;IF('Plot Layout'!D10="",2,'Plot Layout'!D10+1))</f>
        <v>0</v>
      </c>
      <c r="CJ4">
        <f ca="1">INDIRECT("'Data 3'!CJ"&amp;IF('Plot Layout'!D10="",2,'Plot Layout'!D10+1))</f>
        <v>0</v>
      </c>
      <c r="CK4">
        <f ca="1">INDIRECT("'Data 3'!CK"&amp;IF('Plot Layout'!D10="",2,'Plot Layout'!D10+1))</f>
        <v>0</v>
      </c>
      <c r="CL4">
        <f ca="1">INDIRECT("'Data 3'!CL"&amp;IF('Plot Layout'!D10="",2,'Plot Layout'!D10+1))</f>
        <v>0</v>
      </c>
      <c r="CM4">
        <f ca="1">INDIRECT("'Data 3'!CM"&amp;IF('Plot Layout'!D10="",2,'Plot Layout'!D10+1))</f>
        <v>0</v>
      </c>
      <c r="CN4">
        <f ca="1">INDIRECT("'Data 3'!CN"&amp;IF('Plot Layout'!D10="",2,'Plot Layout'!D10+1))</f>
        <v>0</v>
      </c>
      <c r="CO4">
        <f ca="1">INDIRECT("'Data 3'!CO"&amp;IF('Plot Layout'!D10="",2,'Plot Layout'!D10+1))</f>
        <v>0</v>
      </c>
      <c r="CP4">
        <f ca="1">INDIRECT("'Data 3'!CP"&amp;IF('Plot Layout'!D10="",2,'Plot Layout'!D10+1))</f>
        <v>0</v>
      </c>
      <c r="CQ4">
        <f ca="1">INDIRECT("'Data 3'!CQ"&amp;IF('Plot Layout'!D10="",2,'Plot Layout'!D10+1))</f>
        <v>0</v>
      </c>
      <c r="CR4">
        <f ca="1">INDIRECT("'Data 3'!CR"&amp;IF('Plot Layout'!D10="",2,'Plot Layout'!D10+1))</f>
        <v>0</v>
      </c>
      <c r="CS4">
        <f ca="1">INDIRECT("'Data 3'!CS"&amp;IF('Plot Layout'!D10="",2,'Plot Layout'!D10+1))</f>
        <v>0</v>
      </c>
      <c r="CT4">
        <f ca="1">INDIRECT("'Data 3'!CT"&amp;IF('Plot Layout'!D10="",2,'Plot Layout'!D10+1))</f>
        <v>0</v>
      </c>
      <c r="CU4">
        <f ca="1">INDIRECT("'Data 3'!CU"&amp;IF('Plot Layout'!D10="",2,'Plot Layout'!D10+1))</f>
        <v>0</v>
      </c>
      <c r="CV4">
        <f ca="1">INDIRECT("'Data 3'!CV"&amp;IF('Plot Layout'!D10="",2,'Plot Layout'!D10+1))</f>
        <v>0</v>
      </c>
      <c r="CW4">
        <f ca="1">INDIRECT("'Data 3'!CW"&amp;IF('Plot Layout'!D10="",2,'Plot Layout'!D10+1))</f>
        <v>0</v>
      </c>
      <c r="CX4">
        <f ca="1">INDIRECT("'Data 3'!CX"&amp;IF('Plot Layout'!D10="",2,'Plot Layout'!D10+1))</f>
        <v>0</v>
      </c>
      <c r="CY4">
        <f ca="1">INDIRECT("'Data 3'!CY"&amp;IF('Plot Layout'!D10="",2,'Plot Layout'!D10+1))</f>
        <v>0</v>
      </c>
      <c r="CZ4">
        <f ca="1">INDIRECT("'Data 3'!CZ"&amp;IF('Plot Layout'!D10="",2,'Plot Layout'!D10+1))</f>
        <v>0</v>
      </c>
      <c r="DA4">
        <f ca="1">INDIRECT("'Data 3'!DA"&amp;IF('Plot Layout'!D10="",2,'Plot Layout'!D10+1))</f>
        <v>0</v>
      </c>
      <c r="DB4">
        <f ca="1">INDIRECT("'Data 3'!DB"&amp;IF('Plot Layout'!D10="",2,'Plot Layout'!D10+1))</f>
        <v>0</v>
      </c>
      <c r="DC4">
        <f ca="1">INDIRECT("'Data 3'!DC"&amp;IF('Plot Layout'!D10="",2,'Plot Layout'!D10+1))</f>
        <v>0</v>
      </c>
      <c r="DD4">
        <f ca="1">INDIRECT("'Data 3'!DD"&amp;IF('Plot Layout'!D10="",2,'Plot Layout'!D10+1))</f>
        <v>0</v>
      </c>
      <c r="DE4">
        <f ca="1">INDIRECT("'Data 3'!DE"&amp;IF('Plot Layout'!D10="",2,'Plot Layout'!D10+1))</f>
        <v>0</v>
      </c>
      <c r="DF4">
        <f ca="1">INDIRECT("'Data 3'!DF"&amp;IF('Plot Layout'!D10="",2,'Plot Layout'!D10+1))</f>
        <v>0</v>
      </c>
      <c r="DG4">
        <f ca="1">INDIRECT("'Data 3'!DG"&amp;IF('Plot Layout'!D10="",2,'Plot Layout'!D10+1))</f>
        <v>0</v>
      </c>
      <c r="DH4">
        <f ca="1">INDIRECT("'Data 3'!DH"&amp;IF('Plot Layout'!D10="",2,'Plot Layout'!D10+1))</f>
        <v>0</v>
      </c>
      <c r="DI4">
        <f ca="1">INDIRECT("'Data 3'!DI"&amp;IF('Plot Layout'!D10="",2,'Plot Layout'!D10+1))</f>
        <v>0</v>
      </c>
      <c r="DJ4">
        <f ca="1">INDIRECT("'Data 3'!DJ"&amp;IF('Plot Layout'!D10="",2,'Plot Layout'!D10+1))</f>
        <v>0</v>
      </c>
      <c r="DK4">
        <f ca="1">INDIRECT("'Data 3'!DK"&amp;IF('Plot Layout'!D10="",2,'Plot Layout'!D10+1))</f>
        <v>0</v>
      </c>
      <c r="DL4">
        <f ca="1">INDIRECT("'Data 3'!DL"&amp;IF('Plot Layout'!D10="",2,'Plot Layout'!D10+1))</f>
        <v>0</v>
      </c>
      <c r="DM4">
        <f ca="1">INDIRECT("'Data 3'!DM"&amp;IF('Plot Layout'!D10="",2,'Plot Layout'!D10+1))</f>
        <v>0</v>
      </c>
      <c r="DN4">
        <f ca="1">INDIRECT("'Data 3'!DN"&amp;IF('Plot Layout'!D10="",2,'Plot Layout'!D10+1))</f>
        <v>0</v>
      </c>
      <c r="DO4">
        <f ca="1">INDIRECT("'Data 3'!DO"&amp;IF('Plot Layout'!D10="",2,'Plot Layout'!D10+1))</f>
        <v>0</v>
      </c>
      <c r="DP4">
        <f ca="1">INDIRECT("'Data 3'!DP"&amp;IF('Plot Layout'!D10="",2,'Plot Layout'!D10+1))</f>
        <v>0</v>
      </c>
      <c r="DQ4">
        <f ca="1">INDIRECT("'Data 3'!DQ"&amp;IF('Plot Layout'!D10="",2,'Plot Layout'!D10+1))</f>
        <v>0</v>
      </c>
      <c r="DR4">
        <f ca="1">INDIRECT("'Data 3'!DR"&amp;IF('Plot Layout'!D10="",2,'Plot Layout'!D10+1))</f>
        <v>0</v>
      </c>
      <c r="DS4">
        <f ca="1">INDIRECT("'Data 3'!DS"&amp;IF('Plot Layout'!D10="",2,'Plot Layout'!D10+1))</f>
        <v>0</v>
      </c>
      <c r="DT4">
        <f ca="1">INDIRECT("'Data 3'!DT"&amp;IF('Plot Layout'!D10="",2,'Plot Layout'!D10+1))</f>
        <v>0</v>
      </c>
      <c r="DU4">
        <f ca="1">INDIRECT("'Data 3'!DU"&amp;IF('Plot Layout'!D10="",2,'Plot Layout'!D10+1))</f>
        <v>0</v>
      </c>
      <c r="DV4">
        <f ca="1">INDIRECT("'Data 3'!DV"&amp;IF('Plot Layout'!D10="",2,'Plot Layout'!D10+1))</f>
        <v>0</v>
      </c>
      <c r="DW4">
        <f ca="1">INDIRECT("'Data 3'!DW"&amp;IF('Plot Layout'!D10="",2,'Plot Layout'!D10+1))</f>
        <v>0</v>
      </c>
      <c r="DX4">
        <f ca="1">INDIRECT("'Data 3'!DX"&amp;IF('Plot Layout'!D10="",2,'Plot Layout'!D10+1))</f>
        <v>0</v>
      </c>
      <c r="DY4">
        <f ca="1">INDIRECT("'Data 3'!DY"&amp;IF('Plot Layout'!D10="",2,'Plot Layout'!D10+1))</f>
        <v>0</v>
      </c>
      <c r="DZ4">
        <f ca="1">INDIRECT("'Data 3'!DZ"&amp;IF('Plot Layout'!D10="",2,'Plot Layout'!D10+1))</f>
        <v>0</v>
      </c>
      <c r="EA4">
        <f ca="1">INDIRECT("'Data 3'!EA"&amp;IF('Plot Layout'!D10="",2,'Plot Layout'!D10+1))</f>
        <v>0</v>
      </c>
      <c r="EB4">
        <f ca="1">INDIRECT("'Data 3'!EB"&amp;IF('Plot Layout'!D10="",2,'Plot Layout'!D10+1))</f>
        <v>0</v>
      </c>
      <c r="EC4">
        <f ca="1">INDIRECT("'Data 3'!EC"&amp;IF('Plot Layout'!D10="",2,'Plot Layout'!D10+1))</f>
        <v>0</v>
      </c>
      <c r="ED4">
        <f ca="1">INDIRECT("'Data 3'!ED"&amp;IF('Plot Layout'!D10="",2,'Plot Layout'!D10+1))</f>
        <v>0</v>
      </c>
      <c r="EE4">
        <f ca="1">INDIRECT("'Data 3'!EE"&amp;IF('Plot Layout'!D10="",2,'Plot Layout'!D10+1))</f>
        <v>0</v>
      </c>
      <c r="EF4">
        <f ca="1">INDIRECT("'Data 3'!EF"&amp;IF('Plot Layout'!D10="",2,'Plot Layout'!D10+1))</f>
        <v>0</v>
      </c>
      <c r="EG4">
        <f ca="1">INDIRECT("'Data 3'!EG"&amp;IF('Plot Layout'!D10="",2,'Plot Layout'!D10+1))</f>
        <v>0</v>
      </c>
      <c r="EH4">
        <f ca="1">INDIRECT("'Data 3'!EH"&amp;IF('Plot Layout'!D10="",2,'Plot Layout'!D10+1))</f>
        <v>0</v>
      </c>
      <c r="EI4">
        <f ca="1">INDIRECT("'Data 3'!EI"&amp;IF('Plot Layout'!D10="",2,'Plot Layout'!D10+1))</f>
        <v>0</v>
      </c>
      <c r="EJ4">
        <f ca="1">INDIRECT("'Data 3'!EJ"&amp;IF('Plot Layout'!D10="",2,'Plot Layout'!D10+1))</f>
        <v>0</v>
      </c>
      <c r="EK4">
        <f ca="1">INDIRECT("'Data 3'!EK"&amp;IF('Plot Layout'!D10="",2,'Plot Layout'!D10+1))</f>
        <v>0</v>
      </c>
      <c r="EL4">
        <f ca="1">INDIRECT("'Data 3'!EL"&amp;IF('Plot Layout'!D10="",2,'Plot Layout'!D10+1))</f>
        <v>0</v>
      </c>
      <c r="EM4">
        <f ca="1">INDIRECT("'Data 3'!EM"&amp;IF('Plot Layout'!D10="",2,'Plot Layout'!D10+1))</f>
        <v>0</v>
      </c>
      <c r="EN4">
        <f ca="1">INDIRECT("'Data 3'!EN"&amp;IF('Plot Layout'!D10="",2,'Plot Layout'!D10+1))</f>
        <v>0</v>
      </c>
      <c r="EO4">
        <f ca="1">INDIRECT("'Data 3'!EO"&amp;IF('Plot Layout'!D10="",2,'Plot Layout'!D10+1))</f>
        <v>0</v>
      </c>
      <c r="EP4">
        <f ca="1">INDIRECT("'Data 3'!EP"&amp;IF('Plot Layout'!D10="",2,'Plot Layout'!D10+1))</f>
        <v>0</v>
      </c>
      <c r="EQ4">
        <f ca="1">INDIRECT("'Data 3'!EQ"&amp;IF('Plot Layout'!D10="",2,'Plot Layout'!D10+1))</f>
        <v>0</v>
      </c>
      <c r="ER4">
        <f ca="1">INDIRECT("'Data 3'!ER"&amp;IF('Plot Layout'!D10="",2,'Plot Layout'!D10+1))</f>
        <v>0</v>
      </c>
      <c r="ES4">
        <f ca="1">INDIRECT("'Data 3'!ES"&amp;IF('Plot Layout'!D10="",2,'Plot Layout'!D10+1))</f>
        <v>0</v>
      </c>
      <c r="ET4">
        <f ca="1">INDIRECT("'Data 3'!ET"&amp;IF('Plot Layout'!D10="",2,'Plot Layout'!D10+1))</f>
        <v>0</v>
      </c>
      <c r="EU4">
        <f ca="1">INDIRECT("'Data 3'!EU"&amp;IF('Plot Layout'!D10="",2,'Plot Layout'!D10+1))</f>
        <v>0</v>
      </c>
      <c r="EV4">
        <f ca="1">INDIRECT("'Data 3'!EV"&amp;IF('Plot Layout'!D10="",2,'Plot Layout'!D10+1))</f>
        <v>0</v>
      </c>
      <c r="EW4">
        <f ca="1">INDIRECT("'Data 3'!EW"&amp;IF('Plot Layout'!D10="",2,'Plot Layout'!D10+1))</f>
        <v>0</v>
      </c>
      <c r="EX4">
        <f ca="1">INDIRECT("'Data 3'!EX"&amp;IF('Plot Layout'!D10="",2,'Plot Layout'!D10+1))</f>
        <v>0</v>
      </c>
      <c r="EY4">
        <f ca="1">INDIRECT("'Data 3'!EY"&amp;IF('Plot Layout'!D10="",2,'Plot Layout'!D10+1))</f>
        <v>0</v>
      </c>
      <c r="EZ4">
        <f ca="1">INDIRECT("'Data 3'!EZ"&amp;IF('Plot Layout'!D10="",2,'Plot Layout'!D10+1))</f>
        <v>0</v>
      </c>
      <c r="FA4">
        <f ca="1">INDIRECT("'Data 3'!FA"&amp;IF('Plot Layout'!D10="",2,'Plot Layout'!D10+1))</f>
        <v>0</v>
      </c>
      <c r="FB4">
        <f ca="1">INDIRECT("'Data 3'!FB"&amp;IF('Plot Layout'!D10="",2,'Plot Layout'!D10+1))</f>
        <v>0</v>
      </c>
      <c r="FC4">
        <f ca="1">INDIRECT("'Data 3'!FC"&amp;IF('Plot Layout'!D10="",2,'Plot Layout'!D10+1))</f>
        <v>0</v>
      </c>
      <c r="FD4">
        <f ca="1">INDIRECT("'Data 3'!FD"&amp;IF('Plot Layout'!D10="",2,'Plot Layout'!D10+1))</f>
        <v>0</v>
      </c>
      <c r="FE4">
        <f ca="1">INDIRECT("'Data 3'!FE"&amp;IF('Plot Layout'!D10="",2,'Plot Layout'!D10+1))</f>
        <v>0</v>
      </c>
      <c r="FF4">
        <f ca="1">INDIRECT("'Data 3'!FF"&amp;IF('Plot Layout'!D10="",2,'Plot Layout'!D10+1))</f>
        <v>0</v>
      </c>
      <c r="FG4">
        <f ca="1">INDIRECT("'Data 3'!FG"&amp;IF('Plot Layout'!D10="",2,'Plot Layout'!D10+1))</f>
        <v>0</v>
      </c>
      <c r="FH4">
        <f ca="1">INDIRECT("'Data 3'!FH"&amp;IF('Plot Layout'!D10="",2,'Plot Layout'!D10+1))</f>
        <v>0</v>
      </c>
      <c r="FI4">
        <f ca="1">INDIRECT("'Data 3'!FI"&amp;IF('Plot Layout'!D10="",2,'Plot Layout'!D10+1))</f>
        <v>0</v>
      </c>
      <c r="FJ4">
        <f ca="1">INDIRECT("'Data 3'!FJ"&amp;IF('Plot Layout'!D10="",2,'Plot Layout'!D10+1))</f>
        <v>0</v>
      </c>
      <c r="FK4">
        <f ca="1">INDIRECT("'Data 3'!FK"&amp;IF('Plot Layout'!D10="",2,'Plot Layout'!D10+1))</f>
        <v>0</v>
      </c>
      <c r="FL4">
        <f ca="1">INDIRECT("'Data 3'!FL"&amp;IF('Plot Layout'!D10="",2,'Plot Layout'!D10+1))</f>
        <v>0</v>
      </c>
      <c r="FM4">
        <f ca="1">INDIRECT("'Data 3'!FM"&amp;IF('Plot Layout'!D10="",2,'Plot Layout'!D10+1))</f>
        <v>0</v>
      </c>
      <c r="FN4">
        <f ca="1">INDIRECT("'Data 3'!FN"&amp;IF('Plot Layout'!D10="",2,'Plot Layout'!D10+1))</f>
        <v>0</v>
      </c>
      <c r="FO4">
        <f ca="1">INDIRECT("'Data 3'!FO"&amp;IF('Plot Layout'!D10="",2,'Plot Layout'!D10+1))</f>
        <v>0</v>
      </c>
      <c r="FP4">
        <f ca="1">INDIRECT("'Data 3'!FP"&amp;IF('Plot Layout'!D10="",2,'Plot Layout'!D10+1))</f>
        <v>0</v>
      </c>
      <c r="FQ4">
        <f ca="1">INDIRECT("'Data 3'!FQ"&amp;IF('Plot Layout'!D10="",2,'Plot Layout'!D10+1))</f>
        <v>0</v>
      </c>
      <c r="FR4">
        <f ca="1">INDIRECT("'Data 3'!FR"&amp;IF('Plot Layout'!D10="",2,'Plot Layout'!D10+1))</f>
        <v>0</v>
      </c>
      <c r="FS4">
        <f ca="1">INDIRECT("'Data 3'!FS"&amp;IF('Plot Layout'!D10="",2,'Plot Layout'!D10+1))</f>
        <v>0</v>
      </c>
      <c r="FT4">
        <f ca="1">INDIRECT("'Data 3'!FT"&amp;IF('Plot Layout'!D10="",2,'Plot Layout'!D10+1))</f>
        <v>0</v>
      </c>
      <c r="FU4">
        <f ca="1">INDIRECT("'Data 3'!FU"&amp;IF('Plot Layout'!D10="",2,'Plot Layout'!D10+1))</f>
        <v>0</v>
      </c>
      <c r="FV4">
        <f ca="1">INDIRECT("'Data 3'!FV"&amp;IF('Plot Layout'!D10="",2,'Plot Layout'!D10+1))</f>
        <v>0</v>
      </c>
      <c r="FW4">
        <f ca="1">INDIRECT("'Data 3'!FW"&amp;IF('Plot Layout'!D10="",2,'Plot Layout'!D10+1))</f>
        <v>0</v>
      </c>
      <c r="FX4">
        <f ca="1">INDIRECT("'Data 3'!FX"&amp;IF('Plot Layout'!D10="",2,'Plot Layout'!D10+1))</f>
        <v>0</v>
      </c>
      <c r="FY4">
        <f ca="1">INDIRECT("'Data 3'!FY"&amp;IF('Plot Layout'!D10="",2,'Plot Layout'!D10+1))</f>
        <v>0</v>
      </c>
      <c r="FZ4">
        <f ca="1">INDIRECT("'Data 3'!FZ"&amp;IF('Plot Layout'!D10="",2,'Plot Layout'!D10+1))</f>
        <v>0</v>
      </c>
      <c r="GA4">
        <f ca="1">INDIRECT("'Data 3'!GA"&amp;IF('Plot Layout'!D10="",2,'Plot Layout'!D10+1))</f>
        <v>0</v>
      </c>
      <c r="GB4">
        <f ca="1">INDIRECT("'Data 3'!GB"&amp;IF('Plot Layout'!D10="",2,'Plot Layout'!D10+1))</f>
        <v>0</v>
      </c>
      <c r="GC4">
        <f ca="1">INDIRECT("'Data 3'!GC"&amp;IF('Plot Layout'!D10="",2,'Plot Layout'!D10+1))</f>
        <v>0</v>
      </c>
      <c r="GD4">
        <f ca="1">INDIRECT("'Data 3'!GD"&amp;IF('Plot Layout'!D10="",2,'Plot Layout'!D10+1))</f>
        <v>0</v>
      </c>
      <c r="GE4">
        <f ca="1">INDIRECT("'Data 3'!GE"&amp;IF('Plot Layout'!D10="",2,'Plot Layout'!D10+1))</f>
        <v>0</v>
      </c>
      <c r="GF4">
        <f ca="1">INDIRECT("'Data 3'!GF"&amp;IF('Plot Layout'!D10="",2,'Plot Layout'!D10+1))</f>
        <v>0</v>
      </c>
      <c r="GG4">
        <f ca="1">INDIRECT("'Data 3'!GG"&amp;IF('Plot Layout'!D10="",2,'Plot Layout'!D10+1))</f>
        <v>0</v>
      </c>
      <c r="GH4">
        <f ca="1">INDIRECT("'Data 3'!GH"&amp;IF('Plot Layout'!D10="",2,'Plot Layout'!D10+1))</f>
        <v>0</v>
      </c>
      <c r="GI4">
        <f ca="1">INDIRECT("'Data 3'!GI"&amp;IF('Plot Layout'!D10="",2,'Plot Layout'!D10+1))</f>
        <v>0</v>
      </c>
      <c r="GJ4">
        <f ca="1">INDIRECT("'Data 3'!GJ"&amp;IF('Plot Layout'!D10="",2,'Plot Layout'!D10+1))</f>
        <v>0</v>
      </c>
      <c r="GK4">
        <f ca="1">INDIRECT("'Data 3'!GK"&amp;IF('Plot Layout'!D10="",2,'Plot Layout'!D10+1))</f>
        <v>0</v>
      </c>
      <c r="GL4">
        <f ca="1">INDIRECT("'Data 3'!GL"&amp;IF('Plot Layout'!D10="",2,'Plot Layout'!D10+1))</f>
        <v>0</v>
      </c>
      <c r="GM4">
        <f ca="1">INDIRECT("'Data 3'!GM"&amp;IF('Plot Layout'!D10="",2,'Plot Layout'!D10+1))</f>
        <v>0</v>
      </c>
      <c r="GN4">
        <f ca="1">INDIRECT("'Data 3'!GN"&amp;IF('Plot Layout'!D10="",2,'Plot Layout'!D10+1))</f>
        <v>0</v>
      </c>
      <c r="GO4">
        <f ca="1">INDIRECT("'Data 3'!GO"&amp;IF('Plot Layout'!D10="",2,'Plot Layout'!D10+1))</f>
        <v>0</v>
      </c>
      <c r="GP4">
        <f ca="1">INDIRECT("'Data 3'!GP"&amp;IF('Plot Layout'!D10="",2,'Plot Layout'!D10+1))</f>
        <v>0</v>
      </c>
      <c r="GQ4">
        <f ca="1">INDIRECT("'Data 3'!GQ"&amp;IF('Plot Layout'!D10="",2,'Plot Layout'!D10+1))</f>
        <v>0</v>
      </c>
      <c r="GR4">
        <f ca="1">INDIRECT("'Data 3'!GR"&amp;IF('Plot Layout'!D10="",2,'Plot Layout'!D10+1))</f>
        <v>0</v>
      </c>
      <c r="GS4">
        <f ca="1">INDIRECT("'Data 3'!GS"&amp;IF('Plot Layout'!D10="",2,'Plot Layout'!D10+1))</f>
        <v>0</v>
      </c>
      <c r="GT4">
        <f ca="1">INDIRECT("'Data 3'!GT"&amp;IF('Plot Layout'!D10="",2,'Plot Layout'!D10+1))</f>
        <v>0</v>
      </c>
      <c r="GU4">
        <f ca="1">INDIRECT("'Data 3'!GU"&amp;IF('Plot Layout'!D10="",2,'Plot Layout'!D10+1))</f>
        <v>0</v>
      </c>
      <c r="GV4">
        <f ca="1">INDIRECT("'Data 3'!GV"&amp;IF('Plot Layout'!D10="",2,'Plot Layout'!D10+1))</f>
        <v>0</v>
      </c>
      <c r="GW4">
        <f ca="1">INDIRECT("'Data 3'!GW"&amp;IF('Plot Layout'!D10="",2,'Plot Layout'!D10+1))</f>
        <v>0</v>
      </c>
      <c r="GX4">
        <f ca="1">INDIRECT("'Data 3'!GX"&amp;IF('Plot Layout'!D10="",2,'Plot Layout'!D10+1))</f>
        <v>0</v>
      </c>
      <c r="GY4">
        <f ca="1">INDIRECT("'Data 3'!GY"&amp;IF('Plot Layout'!D10="",2,'Plot Layout'!D10+1))</f>
        <v>0</v>
      </c>
      <c r="GZ4">
        <f ca="1">INDIRECT("'Data 3'!GZ"&amp;IF('Plot Layout'!D10="",2,'Plot Layout'!D10+1))</f>
        <v>0</v>
      </c>
      <c r="HA4">
        <f ca="1">INDIRECT("'Data 3'!HA"&amp;IF('Plot Layout'!D10="",2,'Plot Layout'!D10+1))</f>
        <v>0</v>
      </c>
      <c r="HB4">
        <f ca="1">INDIRECT("'Data 3'!HB"&amp;IF('Plot Layout'!D10="",2,'Plot Layout'!D10+1))</f>
        <v>0</v>
      </c>
      <c r="HC4">
        <f ca="1">INDIRECT("'Data 3'!HC"&amp;IF('Plot Layout'!D10="",2,'Plot Layout'!D10+1))</f>
        <v>0</v>
      </c>
      <c r="HD4">
        <f ca="1">INDIRECT("'Data 3'!HD"&amp;IF('Plot Layout'!D10="",2,'Plot Layout'!D10+1))</f>
        <v>0</v>
      </c>
      <c r="HE4">
        <f ca="1">INDIRECT("'Data 3'!HE"&amp;IF('Plot Layout'!D10="",2,'Plot Layout'!D10+1))</f>
        <v>0</v>
      </c>
      <c r="HF4">
        <f ca="1">INDIRECT("'Data 3'!HF"&amp;IF('Plot Layout'!D10="",2,'Plot Layout'!D10+1))</f>
        <v>0</v>
      </c>
      <c r="HG4">
        <f ca="1">INDIRECT("'Data 3'!HG"&amp;IF('Plot Layout'!D10="",2,'Plot Layout'!D10+1))</f>
        <v>0</v>
      </c>
      <c r="HH4">
        <f ca="1">INDIRECT("'Data 3'!HH"&amp;IF('Plot Layout'!D10="",2,'Plot Layout'!D10+1))</f>
        <v>0</v>
      </c>
      <c r="HI4">
        <f ca="1">INDIRECT("'Data 3'!HI"&amp;IF('Plot Layout'!D10="",2,'Plot Layout'!D10+1))</f>
        <v>0</v>
      </c>
      <c r="HJ4">
        <f ca="1">INDIRECT("'Data 3'!HJ"&amp;IF('Plot Layout'!D10="",2,'Plot Layout'!D10+1))</f>
        <v>0</v>
      </c>
      <c r="HK4">
        <f ca="1">INDIRECT("'Data 3'!HK"&amp;IF('Plot Layout'!D10="",2,'Plot Layout'!D10+1))</f>
        <v>0</v>
      </c>
      <c r="HL4">
        <f ca="1">INDIRECT("'Data 3'!HL"&amp;IF('Plot Layout'!D10="",2,'Plot Layout'!D10+1))</f>
        <v>0</v>
      </c>
      <c r="HM4">
        <f ca="1">INDIRECT("'Data 3'!HM"&amp;IF('Plot Layout'!D10="",2,'Plot Layout'!D10+1))</f>
        <v>0</v>
      </c>
      <c r="HN4">
        <f ca="1">INDIRECT("'Data 3'!HN"&amp;IF('Plot Layout'!D10="",2,'Plot Layout'!D10+1))</f>
        <v>0</v>
      </c>
      <c r="HO4">
        <f ca="1">INDIRECT("'Data 3'!HO"&amp;IF('Plot Layout'!D10="",2,'Plot Layout'!D10+1))</f>
        <v>0</v>
      </c>
      <c r="HP4">
        <f ca="1">INDIRECT("'Data 3'!HP"&amp;IF('Plot Layout'!D10="",2,'Plot Layout'!D10+1))</f>
        <v>0</v>
      </c>
      <c r="HQ4">
        <f ca="1">INDIRECT("'Data 3'!HQ"&amp;IF('Plot Layout'!D10="",2,'Plot Layout'!D10+1))</f>
        <v>0</v>
      </c>
      <c r="HR4">
        <f ca="1">INDIRECT("'Data 3'!HR"&amp;IF('Plot Layout'!D10="",2,'Plot Layout'!D10+1))</f>
        <v>0</v>
      </c>
      <c r="HS4">
        <f ca="1">INDIRECT("'Data 3'!HS"&amp;IF('Plot Layout'!D10="",2,'Plot Layout'!D10+1))</f>
        <v>0</v>
      </c>
      <c r="HT4">
        <f ca="1">INDIRECT("'Data 3'!HT"&amp;IF('Plot Layout'!D10="",2,'Plot Layout'!D10+1))</f>
        <v>0</v>
      </c>
      <c r="HU4">
        <f ca="1">INDIRECT("'Data 3'!HU"&amp;IF('Plot Layout'!D10="",2,'Plot Layout'!D10+1))</f>
        <v>0</v>
      </c>
      <c r="HV4">
        <f ca="1">INDIRECT("'Data 3'!HV"&amp;IF('Plot Layout'!D10="",2,'Plot Layout'!D10+1))</f>
        <v>0</v>
      </c>
      <c r="HW4">
        <f ca="1">INDIRECT("'Data 3'!HW"&amp;IF('Plot Layout'!D10="",2,'Plot Layout'!D10+1))</f>
        <v>0</v>
      </c>
      <c r="HX4">
        <f ca="1">INDIRECT("'Data 3'!HX"&amp;IF('Plot Layout'!D10="",2,'Plot Layout'!D10+1))</f>
        <v>0</v>
      </c>
      <c r="HY4">
        <f ca="1">INDIRECT("'Data 3'!HY"&amp;IF('Plot Layout'!D10="",2,'Plot Layout'!D10+1))</f>
        <v>0</v>
      </c>
      <c r="HZ4">
        <f ca="1">INDIRECT("'Data 3'!HZ"&amp;IF('Plot Layout'!D10="",2,'Plot Layout'!D10+1))</f>
        <v>0</v>
      </c>
      <c r="IA4">
        <f ca="1">INDIRECT("'Data 3'!IA"&amp;IF('Plot Layout'!D10="",2,'Plot Layout'!D10+1))</f>
        <v>0</v>
      </c>
      <c r="IB4">
        <f ca="1">INDIRECT("'Data 3'!IB"&amp;IF('Plot Layout'!D10="",2,'Plot Layout'!D10+1))</f>
        <v>0</v>
      </c>
      <c r="IC4">
        <f ca="1">INDIRECT("'Data 3'!IC"&amp;IF('Plot Layout'!D10="",2,'Plot Layout'!D10+1))</f>
        <v>0</v>
      </c>
      <c r="ID4">
        <f ca="1">INDIRECT("'Data 3'!ID"&amp;IF('Plot Layout'!D10="",2,'Plot Layout'!D10+1))</f>
        <v>0</v>
      </c>
      <c r="IE4">
        <f ca="1">INDIRECT("'Data 3'!IE"&amp;IF('Plot Layout'!D10="",2,'Plot Layout'!D10+1))</f>
        <v>0</v>
      </c>
      <c r="IF4">
        <f ca="1">INDIRECT("'Data 3'!IF"&amp;IF('Plot Layout'!D10="",2,'Plot Layout'!D10+1))</f>
        <v>0</v>
      </c>
      <c r="IG4">
        <f ca="1">INDIRECT("'Data 3'!IG"&amp;IF('Plot Layout'!D10="",2,'Plot Layout'!D10+1))</f>
        <v>0</v>
      </c>
      <c r="IH4">
        <f ca="1">INDIRECT("'Data 3'!IH"&amp;IF('Plot Layout'!D10="",2,'Plot Layout'!D10+1))</f>
        <v>0</v>
      </c>
      <c r="II4">
        <f ca="1">INDIRECT("'Data 3'!II"&amp;IF('Plot Layout'!D10="",2,'Plot Layout'!D10+1))</f>
        <v>0</v>
      </c>
      <c r="IJ4">
        <f ca="1">INDIRECT("'Data 3'!IJ"&amp;IF('Plot Layout'!D10="",2,'Plot Layout'!D10+1))</f>
        <v>0</v>
      </c>
      <c r="IK4">
        <f ca="1">INDIRECT("'Data 3'!IK"&amp;IF('Plot Layout'!D10="",2,'Plot Layout'!D10+1))</f>
        <v>0</v>
      </c>
      <c r="IL4">
        <f ca="1">INDIRECT("'Data 3'!IL"&amp;IF('Plot Layout'!D10="",2,'Plot Layout'!D10+1))</f>
        <v>0</v>
      </c>
      <c r="IM4">
        <f ca="1">INDIRECT("'Data 3'!IM"&amp;IF('Plot Layout'!D10="",2,'Plot Layout'!D10+1))</f>
        <v>0</v>
      </c>
      <c r="IN4">
        <f ca="1">INDIRECT("'Data 3'!IN"&amp;IF('Plot Layout'!D10="",2,'Plot Layout'!D10+1))</f>
        <v>0</v>
      </c>
      <c r="IO4">
        <f ca="1">INDIRECT("'Data 3'!IO"&amp;IF('Plot Layout'!D10="",2,'Plot Layout'!D10+1))</f>
        <v>0</v>
      </c>
      <c r="IP4">
        <f ca="1">INDIRECT("'Data 3'!IP"&amp;IF('Plot Layout'!D10="",2,'Plot Layout'!D10+1))</f>
        <v>0</v>
      </c>
      <c r="IQ4">
        <f ca="1">INDIRECT("'Data 3'!IQ"&amp;IF('Plot Layout'!D10="",2,'Plot Layout'!D10+1))</f>
        <v>0</v>
      </c>
      <c r="IR4">
        <f ca="1">INDIRECT("'Data 3'!IR"&amp;IF('Plot Layout'!D10="",2,'Plot Layout'!D10+1))</f>
        <v>0</v>
      </c>
      <c r="IS4">
        <f ca="1">INDIRECT("'Data 3'!IS"&amp;IF('Plot Layout'!D10="",2,'Plot Layout'!D10+1))</f>
        <v>0</v>
      </c>
      <c r="IT4">
        <f ca="1">INDIRECT("'Data 3'!IT"&amp;IF('Plot Layout'!D10="",2,'Plot Layout'!D10+1))</f>
        <v>0</v>
      </c>
      <c r="IU4">
        <f ca="1">INDIRECT("'Data 3'!IU"&amp;IF('Plot Layout'!D10="",2,'Plot Layout'!D10+1))</f>
        <v>0</v>
      </c>
      <c r="IV4">
        <f ca="1">INDIRECT("'Data 3'!IV"&amp;IF('Plot Layout'!D10="",2,'Plot Layout'!D10+1))</f>
        <v>0</v>
      </c>
    </row>
    <row r="5" spans="1:256">
      <c r="A5">
        <f ca="1">INDIRECT("'Data 4'!A"&amp;IF('Plot Layout'!E10="",2,'Plot Layout'!E10+1))</f>
        <v>60</v>
      </c>
      <c r="B5">
        <f ca="1">INDIRECT("'Data 4'!B"&amp;IF('Plot Layout'!E10="",2,'Plot Layout'!E10+1))</f>
        <v>0.75</v>
      </c>
      <c r="C5" t="str">
        <f ca="1">INDIRECT("'Data 4'!C"&amp;IF('Plot Layout'!E10="",2,'Plot Layout'!E10+1))</f>
        <v>65-406 1% TER</v>
      </c>
      <c r="D5">
        <f ca="1">INDIRECT("'Data 4'!D"&amp;IF('Plot Layout'!E10="",2,'Plot Layout'!E10+1))</f>
        <v>2.3999999999999998E-3</v>
      </c>
      <c r="E5">
        <f ca="1">INDIRECT("'Data 4'!E"&amp;IF('Plot Layout'!E10="",2,'Plot Layout'!E10+1))</f>
        <v>0.01</v>
      </c>
      <c r="F5">
        <f ca="1">INDIRECT("'Data 4'!F"&amp;IF('Plot Layout'!E10="",2,'Plot Layout'!E10+1))</f>
        <v>0.06</v>
      </c>
      <c r="G5">
        <f ca="1">INDIRECT("'Data 4'!G"&amp;IF('Plot Layout'!E10="",2,'Plot Layout'!E10+1))</f>
        <v>4</v>
      </c>
      <c r="H5">
        <f ca="1">INDIRECT("'Data 4'!H"&amp;IF('Plot Layout'!E10="",2,'Plot Layout'!E10+1))</f>
        <v>0</v>
      </c>
      <c r="I5">
        <f ca="1">INDIRECT("'Data 4'!I"&amp;IF('Plot Layout'!E10="",2,'Plot Layout'!E10+1))</f>
        <v>4.5999999999999996</v>
      </c>
      <c r="J5">
        <f ca="1">INDIRECT("'Data 4'!J"&amp;IF('Plot Layout'!E10="",2,'Plot Layout'!E10+1))</f>
        <v>9.5</v>
      </c>
      <c r="K5">
        <f ca="1">INDIRECT("'Data 4'!K"&amp;IF('Plot Layout'!E10="",2,'Plot Layout'!E10+1))</f>
        <v>13.4</v>
      </c>
      <c r="L5">
        <f ca="1">INDIRECT("'Data 4'!L"&amp;IF('Plot Layout'!E10="",2,'Plot Layout'!E10+1))</f>
        <v>5.3</v>
      </c>
      <c r="M5">
        <f ca="1">INDIRECT("'Data 4'!M"&amp;IF('Plot Layout'!E10="",2,'Plot Layout'!E10+1))</f>
        <v>0.49199999999999999</v>
      </c>
      <c r="N5">
        <f ca="1">INDIRECT("'Data 4'!N"&amp;IF('Plot Layout'!E10="",2,'Plot Layout'!E10+1))</f>
        <v>1</v>
      </c>
      <c r="O5">
        <f ca="1">INDIRECT("'Data 4'!O"&amp;IF('Plot Layout'!E10="",2,'Plot Layout'!E10+1))</f>
        <v>-1</v>
      </c>
      <c r="P5">
        <f ca="1">INDIRECT("'Data 4'!P"&amp;IF('Plot Layout'!E10="",2,'Plot Layout'!E10+1))</f>
        <v>1</v>
      </c>
      <c r="Q5">
        <f ca="1">INDIRECT("'Data 4'!Q"&amp;IF('Plot Layout'!E10="",2,'Plot Layout'!E10+1))</f>
        <v>8.0000000000000002E-3</v>
      </c>
      <c r="R5">
        <f ca="1">INDIRECT("'Data 4'!R"&amp;IF('Plot Layout'!E10="",2,'Plot Layout'!E10+1))</f>
        <v>0</v>
      </c>
      <c r="S5">
        <f ca="1">INDIRECT("'Data 4'!S"&amp;IF('Plot Layout'!E10="",2,'Plot Layout'!E10+1))</f>
        <v>0</v>
      </c>
      <c r="T5">
        <f ca="1">INDIRECT("'Data 4'!T"&amp;IF('Plot Layout'!E10="",2,'Plot Layout'!E10+1))</f>
        <v>0</v>
      </c>
      <c r="U5">
        <f ca="1">INDIRECT("'Data 4'!U"&amp;IF('Plot Layout'!E10="",2,'Plot Layout'!E10+1))</f>
        <v>0</v>
      </c>
      <c r="V5">
        <f ca="1">INDIRECT("'Data 4'!V"&amp;IF('Plot Layout'!E10="",2,'Plot Layout'!E10+1))</f>
        <v>0</v>
      </c>
      <c r="W5">
        <f ca="1">INDIRECT("'Data 4'!W"&amp;IF('Plot Layout'!E10="",2,'Plot Layout'!E10+1))</f>
        <v>0</v>
      </c>
      <c r="X5">
        <f ca="1">INDIRECT("'Data 4'!X"&amp;IF('Plot Layout'!E10="",2,'Plot Layout'!E10+1))</f>
        <v>0</v>
      </c>
      <c r="Y5">
        <f ca="1">INDIRECT("'Data 4'!Y"&amp;IF('Plot Layout'!E10="",2,'Plot Layout'!E10+1))</f>
        <v>0</v>
      </c>
      <c r="Z5">
        <f ca="1">INDIRECT("'Data 4'!Z"&amp;IF('Plot Layout'!E10="",2,'Plot Layout'!E10+1))</f>
        <v>0</v>
      </c>
      <c r="AA5">
        <f ca="1">INDIRECT("'Data 4'!AA"&amp;IF('Plot Layout'!E10="",2,'Plot Layout'!E10+1))</f>
        <v>0</v>
      </c>
      <c r="AB5">
        <f ca="1">INDIRECT("'Data 4'!AB"&amp;IF('Plot Layout'!E10="",2,'Plot Layout'!E10+1))</f>
        <v>0</v>
      </c>
      <c r="AC5">
        <f ca="1">INDIRECT("'Data 4'!AC"&amp;IF('Plot Layout'!E10="",2,'Plot Layout'!E10+1))</f>
        <v>0</v>
      </c>
      <c r="AD5">
        <f ca="1">INDIRECT("'Data 4'!AD"&amp;IF('Plot Layout'!E10="",2,'Plot Layout'!E10+1))</f>
        <v>0</v>
      </c>
      <c r="AE5">
        <f ca="1">INDIRECT("'Data 4'!AE"&amp;IF('Plot Layout'!E10="",2,'Plot Layout'!E10+1))</f>
        <v>0</v>
      </c>
      <c r="AF5">
        <f ca="1">INDIRECT("'Data 4'!AF"&amp;IF('Plot Layout'!E10="",2,'Plot Layout'!E10+1))</f>
        <v>0</v>
      </c>
      <c r="AG5">
        <f ca="1">INDIRECT("'Data 4'!AG"&amp;IF('Plot Layout'!E10="",2,'Plot Layout'!E10+1))</f>
        <v>0</v>
      </c>
      <c r="AH5">
        <f ca="1">INDIRECT("'Data 4'!AH"&amp;IF('Plot Layout'!E10="",2,'Plot Layout'!E10+1))</f>
        <v>0</v>
      </c>
      <c r="AI5">
        <f ca="1">INDIRECT("'Data 4'!AI"&amp;IF('Plot Layout'!E10="",2,'Plot Layout'!E10+1))</f>
        <v>0</v>
      </c>
      <c r="AJ5">
        <f ca="1">INDIRECT("'Data 4'!AJ"&amp;IF('Plot Layout'!E10="",2,'Plot Layout'!E10+1))</f>
        <v>0</v>
      </c>
      <c r="AK5">
        <f ca="1">INDIRECT("'Data 4'!AK"&amp;IF('Plot Layout'!E10="",2,'Plot Layout'!E10+1))</f>
        <v>0</v>
      </c>
      <c r="AL5">
        <f ca="1">INDIRECT("'Data 4'!AL"&amp;IF('Plot Layout'!E10="",2,'Plot Layout'!E10+1))</f>
        <v>0</v>
      </c>
      <c r="AM5">
        <f ca="1">INDIRECT("'Data 4'!AM"&amp;IF('Plot Layout'!E10="",2,'Plot Layout'!E10+1))</f>
        <v>0</v>
      </c>
      <c r="AN5">
        <f ca="1">INDIRECT("'Data 4'!AN"&amp;IF('Plot Layout'!E10="",2,'Plot Layout'!E10+1))</f>
        <v>0</v>
      </c>
      <c r="AO5">
        <f ca="1">INDIRECT("'Data 4'!AO"&amp;IF('Plot Layout'!E10="",2,'Plot Layout'!E10+1))</f>
        <v>0</v>
      </c>
      <c r="AP5">
        <f ca="1">INDIRECT("'Data 4'!AP"&amp;IF('Plot Layout'!E10="",2,'Plot Layout'!E10+1))</f>
        <v>0</v>
      </c>
      <c r="AQ5">
        <f ca="1">INDIRECT("'Data 4'!AQ"&amp;IF('Plot Layout'!E10="",2,'Plot Layout'!E10+1))</f>
        <v>0</v>
      </c>
      <c r="AR5">
        <f ca="1">INDIRECT("'Data 4'!AR"&amp;IF('Plot Layout'!E10="",2,'Plot Layout'!E10+1))</f>
        <v>0</v>
      </c>
      <c r="AS5">
        <f ca="1">INDIRECT("'Data 4'!AS"&amp;IF('Plot Layout'!E10="",2,'Plot Layout'!E10+1))</f>
        <v>0</v>
      </c>
      <c r="AT5">
        <f ca="1">INDIRECT("'Data 4'!AT"&amp;IF('Plot Layout'!E10="",2,'Plot Layout'!E10+1))</f>
        <v>0</v>
      </c>
      <c r="AU5">
        <f ca="1">INDIRECT("'Data 4'!AU"&amp;IF('Plot Layout'!E10="",2,'Plot Layout'!E10+1))</f>
        <v>0</v>
      </c>
      <c r="AV5">
        <f ca="1">INDIRECT("'Data 4'!AV"&amp;IF('Plot Layout'!E10="",2,'Plot Layout'!E10+1))</f>
        <v>0</v>
      </c>
      <c r="AW5">
        <f ca="1">INDIRECT("'Data 4'!AW"&amp;IF('Plot Layout'!E10="",2,'Plot Layout'!E10+1))</f>
        <v>0</v>
      </c>
      <c r="AX5">
        <f ca="1">INDIRECT("'Data 4'!AX"&amp;IF('Plot Layout'!E10="",2,'Plot Layout'!E10+1))</f>
        <v>0</v>
      </c>
      <c r="AY5">
        <f ca="1">INDIRECT("'Data 4'!AY"&amp;IF('Plot Layout'!E10="",2,'Plot Layout'!E10+1))</f>
        <v>0</v>
      </c>
      <c r="AZ5">
        <f ca="1">INDIRECT("'Data 4'!AZ"&amp;IF('Plot Layout'!E10="",2,'Plot Layout'!E10+1))</f>
        <v>0</v>
      </c>
      <c r="BA5">
        <f ca="1">INDIRECT("'Data 4'!BA"&amp;IF('Plot Layout'!E10="",2,'Plot Layout'!E10+1))</f>
        <v>0</v>
      </c>
      <c r="BB5">
        <f ca="1">INDIRECT("'Data 4'!BB"&amp;IF('Plot Layout'!E10="",2,'Plot Layout'!E10+1))</f>
        <v>0</v>
      </c>
      <c r="BC5">
        <f ca="1">INDIRECT("'Data 4'!BC"&amp;IF('Plot Layout'!E10="",2,'Plot Layout'!E10+1))</f>
        <v>0</v>
      </c>
      <c r="BD5">
        <f ca="1">INDIRECT("'Data 4'!BD"&amp;IF('Plot Layout'!E10="",2,'Plot Layout'!E10+1))</f>
        <v>0</v>
      </c>
      <c r="BE5">
        <f ca="1">INDIRECT("'Data 4'!BE"&amp;IF('Plot Layout'!E10="",2,'Plot Layout'!E10+1))</f>
        <v>0</v>
      </c>
      <c r="BF5">
        <f ca="1">INDIRECT("'Data 4'!BF"&amp;IF('Plot Layout'!E10="",2,'Plot Layout'!E10+1))</f>
        <v>0</v>
      </c>
      <c r="BG5">
        <f ca="1">INDIRECT("'Data 4'!BG"&amp;IF('Plot Layout'!E10="",2,'Plot Layout'!E10+1))</f>
        <v>0</v>
      </c>
      <c r="BH5">
        <f ca="1">INDIRECT("'Data 4'!BH"&amp;IF('Plot Layout'!E10="",2,'Plot Layout'!E10+1))</f>
        <v>0</v>
      </c>
      <c r="BI5">
        <f ca="1">INDIRECT("'Data 4'!BI"&amp;IF('Plot Layout'!E10="",2,'Plot Layout'!E10+1))</f>
        <v>0</v>
      </c>
      <c r="BJ5">
        <f ca="1">INDIRECT("'Data 4'!BJ"&amp;IF('Plot Layout'!E10="",2,'Plot Layout'!E10+1))</f>
        <v>0</v>
      </c>
      <c r="BK5">
        <f ca="1">INDIRECT("'Data 4'!BK"&amp;IF('Plot Layout'!E10="",2,'Plot Layout'!E10+1))</f>
        <v>0</v>
      </c>
      <c r="BL5">
        <f ca="1">INDIRECT("'Data 4'!BL"&amp;IF('Plot Layout'!E10="",2,'Plot Layout'!E10+1))</f>
        <v>0</v>
      </c>
      <c r="BM5">
        <f ca="1">INDIRECT("'Data 4'!BM"&amp;IF('Plot Layout'!E10="",2,'Plot Layout'!E10+1))</f>
        <v>0</v>
      </c>
      <c r="BN5">
        <f ca="1">INDIRECT("'Data 4'!BN"&amp;IF('Plot Layout'!E10="",2,'Plot Layout'!E10+1))</f>
        <v>0</v>
      </c>
      <c r="BO5">
        <f ca="1">INDIRECT("'Data 4'!BO"&amp;IF('Plot Layout'!E10="",2,'Plot Layout'!E10+1))</f>
        <v>0</v>
      </c>
      <c r="BP5">
        <f ca="1">INDIRECT("'Data 4'!BP"&amp;IF('Plot Layout'!E10="",2,'Plot Layout'!E10+1))</f>
        <v>0</v>
      </c>
      <c r="BQ5">
        <f ca="1">INDIRECT("'Data 4'!BQ"&amp;IF('Plot Layout'!E10="",2,'Plot Layout'!E10+1))</f>
        <v>0</v>
      </c>
      <c r="BR5">
        <f ca="1">INDIRECT("'Data 4'!BR"&amp;IF('Plot Layout'!E10="",2,'Plot Layout'!E10+1))</f>
        <v>0</v>
      </c>
      <c r="BS5">
        <f ca="1">INDIRECT("'Data 4'!BS"&amp;IF('Plot Layout'!E10="",2,'Plot Layout'!E10+1))</f>
        <v>0</v>
      </c>
      <c r="BT5">
        <f ca="1">INDIRECT("'Data 4'!BT"&amp;IF('Plot Layout'!E10="",2,'Plot Layout'!E10+1))</f>
        <v>0</v>
      </c>
      <c r="BU5">
        <f ca="1">INDIRECT("'Data 4'!BU"&amp;IF('Plot Layout'!E10="",2,'Plot Layout'!E10+1))</f>
        <v>0</v>
      </c>
      <c r="BV5">
        <f ca="1">INDIRECT("'Data 4'!BV"&amp;IF('Plot Layout'!E10="",2,'Plot Layout'!E10+1))</f>
        <v>0</v>
      </c>
      <c r="BW5">
        <f ca="1">INDIRECT("'Data 4'!BW"&amp;IF('Plot Layout'!E10="",2,'Plot Layout'!E10+1))</f>
        <v>0</v>
      </c>
      <c r="BX5">
        <f ca="1">INDIRECT("'Data 4'!BX"&amp;IF('Plot Layout'!E10="",2,'Plot Layout'!E10+1))</f>
        <v>0</v>
      </c>
      <c r="BY5">
        <f ca="1">INDIRECT("'Data 4'!BY"&amp;IF('Plot Layout'!E10="",2,'Plot Layout'!E10+1))</f>
        <v>0</v>
      </c>
      <c r="BZ5">
        <f ca="1">INDIRECT("'Data 4'!BZ"&amp;IF('Plot Layout'!E10="",2,'Plot Layout'!E10+1))</f>
        <v>0</v>
      </c>
      <c r="CA5">
        <f ca="1">INDIRECT("'Data 4'!CA"&amp;IF('Plot Layout'!E10="",2,'Plot Layout'!E10+1))</f>
        <v>0</v>
      </c>
      <c r="CB5">
        <f ca="1">INDIRECT("'Data 4'!CB"&amp;IF('Plot Layout'!E10="",2,'Plot Layout'!E10+1))</f>
        <v>0</v>
      </c>
      <c r="CC5">
        <f ca="1">INDIRECT("'Data 4'!CC"&amp;IF('Plot Layout'!E10="",2,'Plot Layout'!E10+1))</f>
        <v>0</v>
      </c>
      <c r="CD5">
        <f ca="1">INDIRECT("'Data 4'!CD"&amp;IF('Plot Layout'!E10="",2,'Plot Layout'!E10+1))</f>
        <v>0</v>
      </c>
      <c r="CE5">
        <f ca="1">INDIRECT("'Data 4'!CE"&amp;IF('Plot Layout'!E10="",2,'Plot Layout'!E10+1))</f>
        <v>0</v>
      </c>
      <c r="CF5">
        <f ca="1">INDIRECT("'Data 4'!CF"&amp;IF('Plot Layout'!E10="",2,'Plot Layout'!E10+1))</f>
        <v>0</v>
      </c>
      <c r="CG5">
        <f ca="1">INDIRECT("'Data 4'!CG"&amp;IF('Plot Layout'!E10="",2,'Plot Layout'!E10+1))</f>
        <v>0</v>
      </c>
      <c r="CH5">
        <f ca="1">INDIRECT("'Data 4'!CH"&amp;IF('Plot Layout'!E10="",2,'Plot Layout'!E10+1))</f>
        <v>0</v>
      </c>
      <c r="CI5">
        <f ca="1">INDIRECT("'Data 4'!CI"&amp;IF('Plot Layout'!E10="",2,'Plot Layout'!E10+1))</f>
        <v>0</v>
      </c>
      <c r="CJ5">
        <f ca="1">INDIRECT("'Data 4'!CJ"&amp;IF('Plot Layout'!E10="",2,'Plot Layout'!E10+1))</f>
        <v>0</v>
      </c>
      <c r="CK5">
        <f ca="1">INDIRECT("'Data 4'!CK"&amp;IF('Plot Layout'!E10="",2,'Plot Layout'!E10+1))</f>
        <v>0</v>
      </c>
      <c r="CL5">
        <f ca="1">INDIRECT("'Data 4'!CL"&amp;IF('Plot Layout'!E10="",2,'Plot Layout'!E10+1))</f>
        <v>0</v>
      </c>
      <c r="CM5">
        <f ca="1">INDIRECT("'Data 4'!CM"&amp;IF('Plot Layout'!E10="",2,'Plot Layout'!E10+1))</f>
        <v>0</v>
      </c>
      <c r="CN5">
        <f ca="1">INDIRECT("'Data 4'!CN"&amp;IF('Plot Layout'!E10="",2,'Plot Layout'!E10+1))</f>
        <v>0</v>
      </c>
      <c r="CO5">
        <f ca="1">INDIRECT("'Data 4'!CO"&amp;IF('Plot Layout'!E10="",2,'Plot Layout'!E10+1))</f>
        <v>0</v>
      </c>
      <c r="CP5">
        <f ca="1">INDIRECT("'Data 4'!CP"&amp;IF('Plot Layout'!E10="",2,'Plot Layout'!E10+1))</f>
        <v>0</v>
      </c>
      <c r="CQ5">
        <f ca="1">INDIRECT("'Data 4'!CQ"&amp;IF('Plot Layout'!E10="",2,'Plot Layout'!E10+1))</f>
        <v>0</v>
      </c>
      <c r="CR5">
        <f ca="1">INDIRECT("'Data 4'!CR"&amp;IF('Plot Layout'!E10="",2,'Plot Layout'!E10+1))</f>
        <v>0</v>
      </c>
      <c r="CS5">
        <f ca="1">INDIRECT("'Data 4'!CS"&amp;IF('Plot Layout'!E10="",2,'Plot Layout'!E10+1))</f>
        <v>0</v>
      </c>
      <c r="CT5">
        <f ca="1">INDIRECT("'Data 4'!CT"&amp;IF('Plot Layout'!E10="",2,'Plot Layout'!E10+1))</f>
        <v>0</v>
      </c>
      <c r="CU5">
        <f ca="1">INDIRECT("'Data 4'!CU"&amp;IF('Plot Layout'!E10="",2,'Plot Layout'!E10+1))</f>
        <v>0</v>
      </c>
      <c r="CV5">
        <f ca="1">INDIRECT("'Data 4'!CV"&amp;IF('Plot Layout'!E10="",2,'Plot Layout'!E10+1))</f>
        <v>0</v>
      </c>
      <c r="CW5">
        <f ca="1">INDIRECT("'Data 4'!CW"&amp;IF('Plot Layout'!E10="",2,'Plot Layout'!E10+1))</f>
        <v>0</v>
      </c>
      <c r="CX5">
        <f ca="1">INDIRECT("'Data 4'!CX"&amp;IF('Plot Layout'!E10="",2,'Plot Layout'!E10+1))</f>
        <v>0</v>
      </c>
      <c r="CY5">
        <f ca="1">INDIRECT("'Data 4'!CY"&amp;IF('Plot Layout'!E10="",2,'Plot Layout'!E10+1))</f>
        <v>0</v>
      </c>
      <c r="CZ5">
        <f ca="1">INDIRECT("'Data 4'!CZ"&amp;IF('Plot Layout'!E10="",2,'Plot Layout'!E10+1))</f>
        <v>0</v>
      </c>
      <c r="DA5">
        <f ca="1">INDIRECT("'Data 4'!DA"&amp;IF('Plot Layout'!E10="",2,'Plot Layout'!E10+1))</f>
        <v>0</v>
      </c>
      <c r="DB5">
        <f ca="1">INDIRECT("'Data 4'!DB"&amp;IF('Plot Layout'!E10="",2,'Plot Layout'!E10+1))</f>
        <v>0</v>
      </c>
      <c r="DC5">
        <f ca="1">INDIRECT("'Data 4'!DC"&amp;IF('Plot Layout'!E10="",2,'Plot Layout'!E10+1))</f>
        <v>0</v>
      </c>
      <c r="DD5">
        <f ca="1">INDIRECT("'Data 4'!DD"&amp;IF('Plot Layout'!E10="",2,'Plot Layout'!E10+1))</f>
        <v>0</v>
      </c>
      <c r="DE5">
        <f ca="1">INDIRECT("'Data 4'!DE"&amp;IF('Plot Layout'!E10="",2,'Plot Layout'!E10+1))</f>
        <v>0</v>
      </c>
      <c r="DF5">
        <f ca="1">INDIRECT("'Data 4'!DF"&amp;IF('Plot Layout'!E10="",2,'Plot Layout'!E10+1))</f>
        <v>0</v>
      </c>
      <c r="DG5">
        <f ca="1">INDIRECT("'Data 4'!DG"&amp;IF('Plot Layout'!E10="",2,'Plot Layout'!E10+1))</f>
        <v>0</v>
      </c>
      <c r="DH5">
        <f ca="1">INDIRECT("'Data 4'!DH"&amp;IF('Plot Layout'!E10="",2,'Plot Layout'!E10+1))</f>
        <v>0</v>
      </c>
      <c r="DI5">
        <f ca="1">INDIRECT("'Data 4'!DI"&amp;IF('Plot Layout'!E10="",2,'Plot Layout'!E10+1))</f>
        <v>0</v>
      </c>
      <c r="DJ5">
        <f ca="1">INDIRECT("'Data 4'!DJ"&amp;IF('Plot Layout'!E10="",2,'Plot Layout'!E10+1))</f>
        <v>0</v>
      </c>
      <c r="DK5">
        <f ca="1">INDIRECT("'Data 4'!DK"&amp;IF('Plot Layout'!E10="",2,'Plot Layout'!E10+1))</f>
        <v>0</v>
      </c>
      <c r="DL5">
        <f ca="1">INDIRECT("'Data 4'!DL"&amp;IF('Plot Layout'!E10="",2,'Plot Layout'!E10+1))</f>
        <v>0</v>
      </c>
      <c r="DM5">
        <f ca="1">INDIRECT("'Data 4'!DM"&amp;IF('Plot Layout'!E10="",2,'Plot Layout'!E10+1))</f>
        <v>0</v>
      </c>
      <c r="DN5">
        <f ca="1">INDIRECT("'Data 4'!DN"&amp;IF('Plot Layout'!E10="",2,'Plot Layout'!E10+1))</f>
        <v>0</v>
      </c>
      <c r="DO5">
        <f ca="1">INDIRECT("'Data 4'!DO"&amp;IF('Plot Layout'!E10="",2,'Plot Layout'!E10+1))</f>
        <v>0</v>
      </c>
      <c r="DP5">
        <f ca="1">INDIRECT("'Data 4'!DP"&amp;IF('Plot Layout'!E10="",2,'Plot Layout'!E10+1))</f>
        <v>0</v>
      </c>
      <c r="DQ5">
        <f ca="1">INDIRECT("'Data 4'!DQ"&amp;IF('Plot Layout'!E10="",2,'Plot Layout'!E10+1))</f>
        <v>0</v>
      </c>
      <c r="DR5">
        <f ca="1">INDIRECT("'Data 4'!DR"&amp;IF('Plot Layout'!E10="",2,'Plot Layout'!E10+1))</f>
        <v>0</v>
      </c>
      <c r="DS5">
        <f ca="1">INDIRECT("'Data 4'!DS"&amp;IF('Plot Layout'!E10="",2,'Plot Layout'!E10+1))</f>
        <v>0</v>
      </c>
      <c r="DT5">
        <f ca="1">INDIRECT("'Data 4'!DT"&amp;IF('Plot Layout'!E10="",2,'Plot Layout'!E10+1))</f>
        <v>0</v>
      </c>
      <c r="DU5">
        <f ca="1">INDIRECT("'Data 4'!DU"&amp;IF('Plot Layout'!E10="",2,'Plot Layout'!E10+1))</f>
        <v>0</v>
      </c>
      <c r="DV5">
        <f ca="1">INDIRECT("'Data 4'!DV"&amp;IF('Plot Layout'!E10="",2,'Plot Layout'!E10+1))</f>
        <v>0</v>
      </c>
      <c r="DW5">
        <f ca="1">INDIRECT("'Data 4'!DW"&amp;IF('Plot Layout'!E10="",2,'Plot Layout'!E10+1))</f>
        <v>0</v>
      </c>
      <c r="DX5">
        <f ca="1">INDIRECT("'Data 4'!DX"&amp;IF('Plot Layout'!E10="",2,'Plot Layout'!E10+1))</f>
        <v>0</v>
      </c>
      <c r="DY5">
        <f ca="1">INDIRECT("'Data 4'!DY"&amp;IF('Plot Layout'!E10="",2,'Plot Layout'!E10+1))</f>
        <v>0</v>
      </c>
      <c r="DZ5">
        <f ca="1">INDIRECT("'Data 4'!DZ"&amp;IF('Plot Layout'!E10="",2,'Plot Layout'!E10+1))</f>
        <v>0</v>
      </c>
      <c r="EA5">
        <f ca="1">INDIRECT("'Data 4'!EA"&amp;IF('Plot Layout'!E10="",2,'Plot Layout'!E10+1))</f>
        <v>0</v>
      </c>
      <c r="EB5">
        <f ca="1">INDIRECT("'Data 4'!EB"&amp;IF('Plot Layout'!E10="",2,'Plot Layout'!E10+1))</f>
        <v>0</v>
      </c>
      <c r="EC5">
        <f ca="1">INDIRECT("'Data 4'!EC"&amp;IF('Plot Layout'!E10="",2,'Plot Layout'!E10+1))</f>
        <v>0</v>
      </c>
      <c r="ED5">
        <f ca="1">INDIRECT("'Data 4'!ED"&amp;IF('Plot Layout'!E10="",2,'Plot Layout'!E10+1))</f>
        <v>0</v>
      </c>
      <c r="EE5">
        <f ca="1">INDIRECT("'Data 4'!EE"&amp;IF('Plot Layout'!E10="",2,'Plot Layout'!E10+1))</f>
        <v>0</v>
      </c>
      <c r="EF5">
        <f ca="1">INDIRECT("'Data 4'!EF"&amp;IF('Plot Layout'!E10="",2,'Plot Layout'!E10+1))</f>
        <v>0</v>
      </c>
      <c r="EG5">
        <f ca="1">INDIRECT("'Data 4'!EG"&amp;IF('Plot Layout'!E10="",2,'Plot Layout'!E10+1))</f>
        <v>0</v>
      </c>
      <c r="EH5">
        <f ca="1">INDIRECT("'Data 4'!EH"&amp;IF('Plot Layout'!E10="",2,'Plot Layout'!E10+1))</f>
        <v>0</v>
      </c>
      <c r="EI5">
        <f ca="1">INDIRECT("'Data 4'!EI"&amp;IF('Plot Layout'!E10="",2,'Plot Layout'!E10+1))</f>
        <v>0</v>
      </c>
      <c r="EJ5">
        <f ca="1">INDIRECT("'Data 4'!EJ"&amp;IF('Plot Layout'!E10="",2,'Plot Layout'!E10+1))</f>
        <v>0</v>
      </c>
      <c r="EK5">
        <f ca="1">INDIRECT("'Data 4'!EK"&amp;IF('Plot Layout'!E10="",2,'Plot Layout'!E10+1))</f>
        <v>0</v>
      </c>
      <c r="EL5">
        <f ca="1">INDIRECT("'Data 4'!EL"&amp;IF('Plot Layout'!E10="",2,'Plot Layout'!E10+1))</f>
        <v>0</v>
      </c>
      <c r="EM5">
        <f ca="1">INDIRECT("'Data 4'!EM"&amp;IF('Plot Layout'!E10="",2,'Plot Layout'!E10+1))</f>
        <v>0</v>
      </c>
      <c r="EN5">
        <f ca="1">INDIRECT("'Data 4'!EN"&amp;IF('Plot Layout'!E10="",2,'Plot Layout'!E10+1))</f>
        <v>0</v>
      </c>
      <c r="EO5">
        <f ca="1">INDIRECT("'Data 4'!EO"&amp;IF('Plot Layout'!E10="",2,'Plot Layout'!E10+1))</f>
        <v>0</v>
      </c>
      <c r="EP5">
        <f ca="1">INDIRECT("'Data 4'!EP"&amp;IF('Plot Layout'!E10="",2,'Plot Layout'!E10+1))</f>
        <v>0</v>
      </c>
      <c r="EQ5">
        <f ca="1">INDIRECT("'Data 4'!EQ"&amp;IF('Plot Layout'!E10="",2,'Plot Layout'!E10+1))</f>
        <v>0</v>
      </c>
      <c r="ER5">
        <f ca="1">INDIRECT("'Data 4'!ER"&amp;IF('Plot Layout'!E10="",2,'Plot Layout'!E10+1))</f>
        <v>0</v>
      </c>
      <c r="ES5">
        <f ca="1">INDIRECT("'Data 4'!ES"&amp;IF('Plot Layout'!E10="",2,'Plot Layout'!E10+1))</f>
        <v>0</v>
      </c>
      <c r="ET5">
        <f ca="1">INDIRECT("'Data 4'!ET"&amp;IF('Plot Layout'!E10="",2,'Plot Layout'!E10+1))</f>
        <v>0</v>
      </c>
      <c r="EU5">
        <f ca="1">INDIRECT("'Data 4'!EU"&amp;IF('Plot Layout'!E10="",2,'Plot Layout'!E10+1))</f>
        <v>0</v>
      </c>
      <c r="EV5">
        <f ca="1">INDIRECT("'Data 4'!EV"&amp;IF('Plot Layout'!E10="",2,'Plot Layout'!E10+1))</f>
        <v>0</v>
      </c>
      <c r="EW5">
        <f ca="1">INDIRECT("'Data 4'!EW"&amp;IF('Plot Layout'!E10="",2,'Plot Layout'!E10+1))</f>
        <v>0</v>
      </c>
      <c r="EX5">
        <f ca="1">INDIRECT("'Data 4'!EX"&amp;IF('Plot Layout'!E10="",2,'Plot Layout'!E10+1))</f>
        <v>0</v>
      </c>
      <c r="EY5">
        <f ca="1">INDIRECT("'Data 4'!EY"&amp;IF('Plot Layout'!E10="",2,'Plot Layout'!E10+1))</f>
        <v>0</v>
      </c>
      <c r="EZ5">
        <f ca="1">INDIRECT("'Data 4'!EZ"&amp;IF('Plot Layout'!E10="",2,'Plot Layout'!E10+1))</f>
        <v>0</v>
      </c>
      <c r="FA5">
        <f ca="1">INDIRECT("'Data 4'!FA"&amp;IF('Plot Layout'!E10="",2,'Plot Layout'!E10+1))</f>
        <v>0</v>
      </c>
      <c r="FB5">
        <f ca="1">INDIRECT("'Data 4'!FB"&amp;IF('Plot Layout'!E10="",2,'Plot Layout'!E10+1))</f>
        <v>0</v>
      </c>
      <c r="FC5">
        <f ca="1">INDIRECT("'Data 4'!FC"&amp;IF('Plot Layout'!E10="",2,'Plot Layout'!E10+1))</f>
        <v>0</v>
      </c>
      <c r="FD5">
        <f ca="1">INDIRECT("'Data 4'!FD"&amp;IF('Plot Layout'!E10="",2,'Plot Layout'!E10+1))</f>
        <v>0</v>
      </c>
      <c r="FE5">
        <f ca="1">INDIRECT("'Data 4'!FE"&amp;IF('Plot Layout'!E10="",2,'Plot Layout'!E10+1))</f>
        <v>0</v>
      </c>
      <c r="FF5">
        <f ca="1">INDIRECT("'Data 4'!FF"&amp;IF('Plot Layout'!E10="",2,'Plot Layout'!E10+1))</f>
        <v>0</v>
      </c>
      <c r="FG5">
        <f ca="1">INDIRECT("'Data 4'!FG"&amp;IF('Plot Layout'!E10="",2,'Plot Layout'!E10+1))</f>
        <v>0</v>
      </c>
      <c r="FH5">
        <f ca="1">INDIRECT("'Data 4'!FH"&amp;IF('Plot Layout'!E10="",2,'Plot Layout'!E10+1))</f>
        <v>0</v>
      </c>
      <c r="FI5">
        <f ca="1">INDIRECT("'Data 4'!FI"&amp;IF('Plot Layout'!E10="",2,'Plot Layout'!E10+1))</f>
        <v>0</v>
      </c>
      <c r="FJ5">
        <f ca="1">INDIRECT("'Data 4'!FJ"&amp;IF('Plot Layout'!E10="",2,'Plot Layout'!E10+1))</f>
        <v>0</v>
      </c>
      <c r="FK5">
        <f ca="1">INDIRECT("'Data 4'!FK"&amp;IF('Plot Layout'!E10="",2,'Plot Layout'!E10+1))</f>
        <v>0</v>
      </c>
      <c r="FL5">
        <f ca="1">INDIRECT("'Data 4'!FL"&amp;IF('Plot Layout'!E10="",2,'Plot Layout'!E10+1))</f>
        <v>0</v>
      </c>
      <c r="FM5">
        <f ca="1">INDIRECT("'Data 4'!FM"&amp;IF('Plot Layout'!E10="",2,'Plot Layout'!E10+1))</f>
        <v>0</v>
      </c>
      <c r="FN5">
        <f ca="1">INDIRECT("'Data 4'!FN"&amp;IF('Plot Layout'!E10="",2,'Plot Layout'!E10+1))</f>
        <v>0</v>
      </c>
      <c r="FO5">
        <f ca="1">INDIRECT("'Data 4'!FO"&amp;IF('Plot Layout'!E10="",2,'Plot Layout'!E10+1))</f>
        <v>0</v>
      </c>
      <c r="FP5">
        <f ca="1">INDIRECT("'Data 4'!FP"&amp;IF('Plot Layout'!E10="",2,'Plot Layout'!E10+1))</f>
        <v>0</v>
      </c>
      <c r="FQ5">
        <f ca="1">INDIRECT("'Data 4'!FQ"&amp;IF('Plot Layout'!E10="",2,'Plot Layout'!E10+1))</f>
        <v>0</v>
      </c>
      <c r="FR5">
        <f ca="1">INDIRECT("'Data 4'!FR"&amp;IF('Plot Layout'!E10="",2,'Plot Layout'!E10+1))</f>
        <v>0</v>
      </c>
      <c r="FS5">
        <f ca="1">INDIRECT("'Data 4'!FS"&amp;IF('Plot Layout'!E10="",2,'Plot Layout'!E10+1))</f>
        <v>0</v>
      </c>
      <c r="FT5">
        <f ca="1">INDIRECT("'Data 4'!FT"&amp;IF('Plot Layout'!E10="",2,'Plot Layout'!E10+1))</f>
        <v>0</v>
      </c>
      <c r="FU5">
        <f ca="1">INDIRECT("'Data 4'!FU"&amp;IF('Plot Layout'!E10="",2,'Plot Layout'!E10+1))</f>
        <v>0</v>
      </c>
      <c r="FV5">
        <f ca="1">INDIRECT("'Data 4'!FV"&amp;IF('Plot Layout'!E10="",2,'Plot Layout'!E10+1))</f>
        <v>0</v>
      </c>
      <c r="FW5">
        <f ca="1">INDIRECT("'Data 4'!FW"&amp;IF('Plot Layout'!E10="",2,'Plot Layout'!E10+1))</f>
        <v>0</v>
      </c>
      <c r="FX5">
        <f ca="1">INDIRECT("'Data 4'!FX"&amp;IF('Plot Layout'!E10="",2,'Plot Layout'!E10+1))</f>
        <v>0</v>
      </c>
      <c r="FY5">
        <f ca="1">INDIRECT("'Data 4'!FY"&amp;IF('Plot Layout'!E10="",2,'Plot Layout'!E10+1))</f>
        <v>0</v>
      </c>
      <c r="FZ5">
        <f ca="1">INDIRECT("'Data 4'!FZ"&amp;IF('Plot Layout'!E10="",2,'Plot Layout'!E10+1))</f>
        <v>0</v>
      </c>
      <c r="GA5">
        <f ca="1">INDIRECT("'Data 4'!GA"&amp;IF('Plot Layout'!E10="",2,'Plot Layout'!E10+1))</f>
        <v>0</v>
      </c>
      <c r="GB5">
        <f ca="1">INDIRECT("'Data 4'!GB"&amp;IF('Plot Layout'!E10="",2,'Plot Layout'!E10+1))</f>
        <v>0</v>
      </c>
      <c r="GC5">
        <f ca="1">INDIRECT("'Data 4'!GC"&amp;IF('Plot Layout'!E10="",2,'Plot Layout'!E10+1))</f>
        <v>0</v>
      </c>
      <c r="GD5">
        <f ca="1">INDIRECT("'Data 4'!GD"&amp;IF('Plot Layout'!E10="",2,'Plot Layout'!E10+1))</f>
        <v>0</v>
      </c>
      <c r="GE5">
        <f ca="1">INDIRECT("'Data 4'!GE"&amp;IF('Plot Layout'!E10="",2,'Plot Layout'!E10+1))</f>
        <v>0</v>
      </c>
      <c r="GF5">
        <f ca="1">INDIRECT("'Data 4'!GF"&amp;IF('Plot Layout'!E10="",2,'Plot Layout'!E10+1))</f>
        <v>0</v>
      </c>
      <c r="GG5">
        <f ca="1">INDIRECT("'Data 4'!GG"&amp;IF('Plot Layout'!E10="",2,'Plot Layout'!E10+1))</f>
        <v>0</v>
      </c>
      <c r="GH5">
        <f ca="1">INDIRECT("'Data 4'!GH"&amp;IF('Plot Layout'!E10="",2,'Plot Layout'!E10+1))</f>
        <v>0</v>
      </c>
      <c r="GI5">
        <f ca="1">INDIRECT("'Data 4'!GI"&amp;IF('Plot Layout'!E10="",2,'Plot Layout'!E10+1))</f>
        <v>0</v>
      </c>
      <c r="GJ5">
        <f ca="1">INDIRECT("'Data 4'!GJ"&amp;IF('Plot Layout'!E10="",2,'Plot Layout'!E10+1))</f>
        <v>0</v>
      </c>
      <c r="GK5">
        <f ca="1">INDIRECT("'Data 4'!GK"&amp;IF('Plot Layout'!E10="",2,'Plot Layout'!E10+1))</f>
        <v>0</v>
      </c>
      <c r="GL5">
        <f ca="1">INDIRECT("'Data 4'!GL"&amp;IF('Plot Layout'!E10="",2,'Plot Layout'!E10+1))</f>
        <v>0</v>
      </c>
      <c r="GM5">
        <f ca="1">INDIRECT("'Data 4'!GM"&amp;IF('Plot Layout'!E10="",2,'Plot Layout'!E10+1))</f>
        <v>0</v>
      </c>
      <c r="GN5">
        <f ca="1">INDIRECT("'Data 4'!GN"&amp;IF('Plot Layout'!E10="",2,'Plot Layout'!E10+1))</f>
        <v>0</v>
      </c>
      <c r="GO5">
        <f ca="1">INDIRECT("'Data 4'!GO"&amp;IF('Plot Layout'!E10="",2,'Plot Layout'!E10+1))</f>
        <v>0</v>
      </c>
      <c r="GP5">
        <f ca="1">INDIRECT("'Data 4'!GP"&amp;IF('Plot Layout'!E10="",2,'Plot Layout'!E10+1))</f>
        <v>0</v>
      </c>
      <c r="GQ5">
        <f ca="1">INDIRECT("'Data 4'!GQ"&amp;IF('Plot Layout'!E10="",2,'Plot Layout'!E10+1))</f>
        <v>0</v>
      </c>
      <c r="GR5">
        <f ca="1">INDIRECT("'Data 4'!GR"&amp;IF('Plot Layout'!E10="",2,'Plot Layout'!E10+1))</f>
        <v>0</v>
      </c>
      <c r="GS5">
        <f ca="1">INDIRECT("'Data 4'!GS"&amp;IF('Plot Layout'!E10="",2,'Plot Layout'!E10+1))</f>
        <v>0</v>
      </c>
      <c r="GT5">
        <f ca="1">INDIRECT("'Data 4'!GT"&amp;IF('Plot Layout'!E10="",2,'Plot Layout'!E10+1))</f>
        <v>0</v>
      </c>
      <c r="GU5">
        <f ca="1">INDIRECT("'Data 4'!GU"&amp;IF('Plot Layout'!E10="",2,'Plot Layout'!E10+1))</f>
        <v>0</v>
      </c>
      <c r="GV5">
        <f ca="1">INDIRECT("'Data 4'!GV"&amp;IF('Plot Layout'!E10="",2,'Plot Layout'!E10+1))</f>
        <v>0</v>
      </c>
      <c r="GW5">
        <f ca="1">INDIRECT("'Data 4'!GW"&amp;IF('Plot Layout'!E10="",2,'Plot Layout'!E10+1))</f>
        <v>0</v>
      </c>
      <c r="GX5">
        <f ca="1">INDIRECT("'Data 4'!GX"&amp;IF('Plot Layout'!E10="",2,'Plot Layout'!E10+1))</f>
        <v>0</v>
      </c>
      <c r="GY5">
        <f ca="1">INDIRECT("'Data 4'!GY"&amp;IF('Plot Layout'!E10="",2,'Plot Layout'!E10+1))</f>
        <v>0</v>
      </c>
      <c r="GZ5">
        <f ca="1">INDIRECT("'Data 4'!GZ"&amp;IF('Plot Layout'!E10="",2,'Plot Layout'!E10+1))</f>
        <v>0</v>
      </c>
      <c r="HA5">
        <f ca="1">INDIRECT("'Data 4'!HA"&amp;IF('Plot Layout'!E10="",2,'Plot Layout'!E10+1))</f>
        <v>0</v>
      </c>
      <c r="HB5">
        <f ca="1">INDIRECT("'Data 4'!HB"&amp;IF('Plot Layout'!E10="",2,'Plot Layout'!E10+1))</f>
        <v>0</v>
      </c>
      <c r="HC5">
        <f ca="1">INDIRECT("'Data 4'!HC"&amp;IF('Plot Layout'!E10="",2,'Plot Layout'!E10+1))</f>
        <v>0</v>
      </c>
      <c r="HD5">
        <f ca="1">INDIRECT("'Data 4'!HD"&amp;IF('Plot Layout'!E10="",2,'Plot Layout'!E10+1))</f>
        <v>0</v>
      </c>
      <c r="HE5">
        <f ca="1">INDIRECT("'Data 4'!HE"&amp;IF('Plot Layout'!E10="",2,'Plot Layout'!E10+1))</f>
        <v>0</v>
      </c>
      <c r="HF5">
        <f ca="1">INDIRECT("'Data 4'!HF"&amp;IF('Plot Layout'!E10="",2,'Plot Layout'!E10+1))</f>
        <v>0</v>
      </c>
      <c r="HG5">
        <f ca="1">INDIRECT("'Data 4'!HG"&amp;IF('Plot Layout'!E10="",2,'Plot Layout'!E10+1))</f>
        <v>0</v>
      </c>
      <c r="HH5">
        <f ca="1">INDIRECT("'Data 4'!HH"&amp;IF('Plot Layout'!E10="",2,'Plot Layout'!E10+1))</f>
        <v>0</v>
      </c>
      <c r="HI5">
        <f ca="1">INDIRECT("'Data 4'!HI"&amp;IF('Plot Layout'!E10="",2,'Plot Layout'!E10+1))</f>
        <v>0</v>
      </c>
      <c r="HJ5">
        <f ca="1">INDIRECT("'Data 4'!HJ"&amp;IF('Plot Layout'!E10="",2,'Plot Layout'!E10+1))</f>
        <v>0</v>
      </c>
      <c r="HK5">
        <f ca="1">INDIRECT("'Data 4'!HK"&amp;IF('Plot Layout'!E10="",2,'Plot Layout'!E10+1))</f>
        <v>0</v>
      </c>
      <c r="HL5">
        <f ca="1">INDIRECT("'Data 4'!HL"&amp;IF('Plot Layout'!E10="",2,'Plot Layout'!E10+1))</f>
        <v>0</v>
      </c>
      <c r="HM5">
        <f ca="1">INDIRECT("'Data 4'!HM"&amp;IF('Plot Layout'!E10="",2,'Plot Layout'!E10+1))</f>
        <v>0</v>
      </c>
      <c r="HN5">
        <f ca="1">INDIRECT("'Data 4'!HN"&amp;IF('Plot Layout'!E10="",2,'Plot Layout'!E10+1))</f>
        <v>0</v>
      </c>
      <c r="HO5">
        <f ca="1">INDIRECT("'Data 4'!HO"&amp;IF('Plot Layout'!E10="",2,'Plot Layout'!E10+1))</f>
        <v>0</v>
      </c>
      <c r="HP5">
        <f ca="1">INDIRECT("'Data 4'!HP"&amp;IF('Plot Layout'!E10="",2,'Plot Layout'!E10+1))</f>
        <v>0</v>
      </c>
      <c r="HQ5">
        <f ca="1">INDIRECT("'Data 4'!HQ"&amp;IF('Plot Layout'!E10="",2,'Plot Layout'!E10+1))</f>
        <v>0</v>
      </c>
      <c r="HR5">
        <f ca="1">INDIRECT("'Data 4'!HR"&amp;IF('Plot Layout'!E10="",2,'Plot Layout'!E10+1))</f>
        <v>0</v>
      </c>
      <c r="HS5">
        <f ca="1">INDIRECT("'Data 4'!HS"&amp;IF('Plot Layout'!E10="",2,'Plot Layout'!E10+1))</f>
        <v>0</v>
      </c>
      <c r="HT5">
        <f ca="1">INDIRECT("'Data 4'!HT"&amp;IF('Plot Layout'!E10="",2,'Plot Layout'!E10+1))</f>
        <v>0</v>
      </c>
      <c r="HU5">
        <f ca="1">INDIRECT("'Data 4'!HU"&amp;IF('Plot Layout'!E10="",2,'Plot Layout'!E10+1))</f>
        <v>0</v>
      </c>
      <c r="HV5">
        <f ca="1">INDIRECT("'Data 4'!HV"&amp;IF('Plot Layout'!E10="",2,'Plot Layout'!E10+1))</f>
        <v>0</v>
      </c>
      <c r="HW5">
        <f ca="1">INDIRECT("'Data 4'!HW"&amp;IF('Plot Layout'!E10="",2,'Plot Layout'!E10+1))</f>
        <v>0</v>
      </c>
      <c r="HX5">
        <f ca="1">INDIRECT("'Data 4'!HX"&amp;IF('Plot Layout'!E10="",2,'Plot Layout'!E10+1))</f>
        <v>0</v>
      </c>
      <c r="HY5">
        <f ca="1">INDIRECT("'Data 4'!HY"&amp;IF('Plot Layout'!E10="",2,'Plot Layout'!E10+1))</f>
        <v>0</v>
      </c>
      <c r="HZ5">
        <f ca="1">INDIRECT("'Data 4'!HZ"&amp;IF('Plot Layout'!E10="",2,'Plot Layout'!E10+1))</f>
        <v>0</v>
      </c>
      <c r="IA5">
        <f ca="1">INDIRECT("'Data 4'!IA"&amp;IF('Plot Layout'!E10="",2,'Plot Layout'!E10+1))</f>
        <v>0</v>
      </c>
      <c r="IB5">
        <f ca="1">INDIRECT("'Data 4'!IB"&amp;IF('Plot Layout'!E10="",2,'Plot Layout'!E10+1))</f>
        <v>0</v>
      </c>
      <c r="IC5">
        <f ca="1">INDIRECT("'Data 4'!IC"&amp;IF('Plot Layout'!E10="",2,'Plot Layout'!E10+1))</f>
        <v>0</v>
      </c>
      <c r="ID5">
        <f ca="1">INDIRECT("'Data 4'!ID"&amp;IF('Plot Layout'!E10="",2,'Plot Layout'!E10+1))</f>
        <v>0</v>
      </c>
      <c r="IE5">
        <f ca="1">INDIRECT("'Data 4'!IE"&amp;IF('Plot Layout'!E10="",2,'Plot Layout'!E10+1))</f>
        <v>0</v>
      </c>
      <c r="IF5">
        <f ca="1">INDIRECT("'Data 4'!IF"&amp;IF('Plot Layout'!E10="",2,'Plot Layout'!E10+1))</f>
        <v>0</v>
      </c>
      <c r="IG5">
        <f ca="1">INDIRECT("'Data 4'!IG"&amp;IF('Plot Layout'!E10="",2,'Plot Layout'!E10+1))</f>
        <v>0</v>
      </c>
      <c r="IH5">
        <f ca="1">INDIRECT("'Data 4'!IH"&amp;IF('Plot Layout'!E10="",2,'Plot Layout'!E10+1))</f>
        <v>0</v>
      </c>
      <c r="II5">
        <f ca="1">INDIRECT("'Data 4'!II"&amp;IF('Plot Layout'!E10="",2,'Plot Layout'!E10+1))</f>
        <v>0</v>
      </c>
      <c r="IJ5">
        <f ca="1">INDIRECT("'Data 4'!IJ"&amp;IF('Plot Layout'!E10="",2,'Plot Layout'!E10+1))</f>
        <v>0</v>
      </c>
      <c r="IK5">
        <f ca="1">INDIRECT("'Data 4'!IK"&amp;IF('Plot Layout'!E10="",2,'Plot Layout'!E10+1))</f>
        <v>0</v>
      </c>
      <c r="IL5">
        <f ca="1">INDIRECT("'Data 4'!IL"&amp;IF('Plot Layout'!E10="",2,'Plot Layout'!E10+1))</f>
        <v>0</v>
      </c>
      <c r="IM5">
        <f ca="1">INDIRECT("'Data 4'!IM"&amp;IF('Plot Layout'!E10="",2,'Plot Layout'!E10+1))</f>
        <v>0</v>
      </c>
      <c r="IN5">
        <f ca="1">INDIRECT("'Data 4'!IN"&amp;IF('Plot Layout'!E10="",2,'Plot Layout'!E10+1))</f>
        <v>0</v>
      </c>
      <c r="IO5">
        <f ca="1">INDIRECT("'Data 4'!IO"&amp;IF('Plot Layout'!E10="",2,'Plot Layout'!E10+1))</f>
        <v>0</v>
      </c>
      <c r="IP5">
        <f ca="1">INDIRECT("'Data 4'!IP"&amp;IF('Plot Layout'!E10="",2,'Plot Layout'!E10+1))</f>
        <v>0</v>
      </c>
      <c r="IQ5">
        <f ca="1">INDIRECT("'Data 4'!IQ"&amp;IF('Plot Layout'!E10="",2,'Plot Layout'!E10+1))</f>
        <v>0</v>
      </c>
      <c r="IR5">
        <f ca="1">INDIRECT("'Data 4'!IR"&amp;IF('Plot Layout'!E10="",2,'Plot Layout'!E10+1))</f>
        <v>0</v>
      </c>
      <c r="IS5">
        <f ca="1">INDIRECT("'Data 4'!IS"&amp;IF('Plot Layout'!E10="",2,'Plot Layout'!E10+1))</f>
        <v>0</v>
      </c>
      <c r="IT5">
        <f ca="1">INDIRECT("'Data 4'!IT"&amp;IF('Plot Layout'!E10="",2,'Plot Layout'!E10+1))</f>
        <v>0</v>
      </c>
      <c r="IU5">
        <f ca="1">INDIRECT("'Data 4'!IU"&amp;IF('Plot Layout'!E10="",2,'Plot Layout'!E10+1))</f>
        <v>0</v>
      </c>
      <c r="IV5">
        <f ca="1">INDIRECT("'Data 4'!IV"&amp;IF('Plot Layout'!E10="",2,'Plot Layout'!E10+1))</f>
        <v>0</v>
      </c>
    </row>
    <row r="6" spans="1:256">
      <c r="A6">
        <f ca="1">INDIRECT("'Data 5'!A"&amp;IF('Plot Layout'!F10="",2,'Plot Layout'!F10+1))</f>
        <v>70</v>
      </c>
      <c r="B6">
        <f ca="1">INDIRECT("'Data 5'!B"&amp;IF('Plot Layout'!F10="",2,'Plot Layout'!F10+1))</f>
        <v>0.75</v>
      </c>
      <c r="C6" t="str">
        <f ca="1">INDIRECT("'Data 5'!C"&amp;IF('Plot Layout'!F10="",2,'Plot Layout'!F10+1))</f>
        <v>65-406 1% TER</v>
      </c>
      <c r="D6">
        <f ca="1">INDIRECT("'Data 5'!D"&amp;IF('Plot Layout'!F10="",2,'Plot Layout'!F10+1))</f>
        <v>2.3999999999999998E-3</v>
      </c>
      <c r="E6">
        <f ca="1">INDIRECT("'Data 5'!E"&amp;IF('Plot Layout'!F10="",2,'Plot Layout'!F10+1))</f>
        <v>0.01</v>
      </c>
      <c r="F6">
        <f ca="1">INDIRECT("'Data 5'!F"&amp;IF('Plot Layout'!F10="",2,'Plot Layout'!F10+1))</f>
        <v>0.06</v>
      </c>
      <c r="G6">
        <f ca="1">INDIRECT("'Data 5'!G"&amp;IF('Plot Layout'!F10="",2,'Plot Layout'!F10+1))</f>
        <v>4</v>
      </c>
      <c r="H6">
        <f ca="1">INDIRECT("'Data 5'!H"&amp;IF('Plot Layout'!F10="",2,'Plot Layout'!F10+1))</f>
        <v>0</v>
      </c>
      <c r="I6">
        <f ca="1">INDIRECT("'Data 5'!I"&amp;IF('Plot Layout'!F10="",2,'Plot Layout'!F10+1))</f>
        <v>4.5999999999999996</v>
      </c>
      <c r="J6">
        <f ca="1">INDIRECT("'Data 5'!J"&amp;IF('Plot Layout'!F10="",2,'Plot Layout'!F10+1))</f>
        <v>9.5</v>
      </c>
      <c r="K6">
        <f ca="1">INDIRECT("'Data 5'!K"&amp;IF('Plot Layout'!F10="",2,'Plot Layout'!F10+1))</f>
        <v>13.4</v>
      </c>
      <c r="L6">
        <f ca="1">INDIRECT("'Data 5'!L"&amp;IF('Plot Layout'!F10="",2,'Plot Layout'!F10+1))</f>
        <v>5.3</v>
      </c>
      <c r="M6">
        <f ca="1">INDIRECT("'Data 5'!M"&amp;IF('Plot Layout'!F10="",2,'Plot Layout'!F10+1))</f>
        <v>0.36899999999999999</v>
      </c>
      <c r="N6">
        <f ca="1">INDIRECT("'Data 5'!N"&amp;IF('Plot Layout'!F10="",2,'Plot Layout'!F10+1))</f>
        <v>1.0009999999999999</v>
      </c>
      <c r="O6">
        <f ca="1">INDIRECT("'Data 5'!O"&amp;IF('Plot Layout'!F10="",2,'Plot Layout'!F10+1))</f>
        <v>-1.5</v>
      </c>
      <c r="P6">
        <f ca="1">INDIRECT("'Data 5'!P"&amp;IF('Plot Layout'!F10="",2,'Plot Layout'!F10+1))</f>
        <v>0.5</v>
      </c>
      <c r="Q6">
        <f ca="1">INDIRECT("'Data 5'!Q"&amp;IF('Plot Layout'!F10="",2,'Plot Layout'!F10+1))</f>
        <v>8.9999999999999993E-3</v>
      </c>
      <c r="R6">
        <f ca="1">INDIRECT("'Data 5'!R"&amp;IF('Plot Layout'!F10="",2,'Plot Layout'!F10+1))</f>
        <v>0</v>
      </c>
      <c r="S6">
        <f ca="1">INDIRECT("'Data 5'!S"&amp;IF('Plot Layout'!F10="",2,'Plot Layout'!F10+1))</f>
        <v>0</v>
      </c>
      <c r="T6">
        <f ca="1">INDIRECT("'Data 5'!T"&amp;IF('Plot Layout'!F10="",2,'Plot Layout'!F10+1))</f>
        <v>0</v>
      </c>
      <c r="U6">
        <f ca="1">INDIRECT("'Data 5'!U"&amp;IF('Plot Layout'!F10="",2,'Plot Layout'!F10+1))</f>
        <v>0</v>
      </c>
      <c r="V6">
        <f ca="1">INDIRECT("'Data 5'!V"&amp;IF('Plot Layout'!F10="",2,'Plot Layout'!F10+1))</f>
        <v>0</v>
      </c>
      <c r="W6">
        <f ca="1">INDIRECT("'Data 5'!W"&amp;IF('Plot Layout'!F10="",2,'Plot Layout'!F10+1))</f>
        <v>0</v>
      </c>
      <c r="X6">
        <f ca="1">INDIRECT("'Data 5'!X"&amp;IF('Plot Layout'!F10="",2,'Plot Layout'!F10+1))</f>
        <v>0</v>
      </c>
      <c r="Y6">
        <f ca="1">INDIRECT("'Data 5'!Y"&amp;IF('Plot Layout'!F10="",2,'Plot Layout'!F10+1))</f>
        <v>0</v>
      </c>
      <c r="Z6">
        <f ca="1">INDIRECT("'Data 5'!Z"&amp;IF('Plot Layout'!F10="",2,'Plot Layout'!F10+1))</f>
        <v>0</v>
      </c>
      <c r="AA6">
        <f ca="1">INDIRECT("'Data 5'!AA"&amp;IF('Plot Layout'!F10="",2,'Plot Layout'!F10+1))</f>
        <v>0</v>
      </c>
      <c r="AB6">
        <f ca="1">INDIRECT("'Data 5'!AB"&amp;IF('Plot Layout'!F10="",2,'Plot Layout'!F10+1))</f>
        <v>0</v>
      </c>
      <c r="AC6">
        <f ca="1">INDIRECT("'Data 5'!AC"&amp;IF('Plot Layout'!F10="",2,'Plot Layout'!F10+1))</f>
        <v>0</v>
      </c>
      <c r="AD6">
        <f ca="1">INDIRECT("'Data 5'!AD"&amp;IF('Plot Layout'!F10="",2,'Plot Layout'!F10+1))</f>
        <v>0</v>
      </c>
      <c r="AE6">
        <f ca="1">INDIRECT("'Data 5'!AE"&amp;IF('Plot Layout'!F10="",2,'Plot Layout'!F10+1))</f>
        <v>0</v>
      </c>
      <c r="AF6">
        <f ca="1">INDIRECT("'Data 5'!AF"&amp;IF('Plot Layout'!F10="",2,'Plot Layout'!F10+1))</f>
        <v>0</v>
      </c>
      <c r="AG6">
        <f ca="1">INDIRECT("'Data 5'!AG"&amp;IF('Plot Layout'!F10="",2,'Plot Layout'!F10+1))</f>
        <v>0</v>
      </c>
      <c r="AH6">
        <f ca="1">INDIRECT("'Data 5'!AH"&amp;IF('Plot Layout'!F10="",2,'Plot Layout'!F10+1))</f>
        <v>0</v>
      </c>
      <c r="AI6">
        <f ca="1">INDIRECT("'Data 5'!AI"&amp;IF('Plot Layout'!F10="",2,'Plot Layout'!F10+1))</f>
        <v>0</v>
      </c>
      <c r="AJ6">
        <f ca="1">INDIRECT("'Data 5'!AJ"&amp;IF('Plot Layout'!F10="",2,'Plot Layout'!F10+1))</f>
        <v>0</v>
      </c>
      <c r="AK6">
        <f ca="1">INDIRECT("'Data 5'!AK"&amp;IF('Plot Layout'!F10="",2,'Plot Layout'!F10+1))</f>
        <v>0</v>
      </c>
      <c r="AL6">
        <f ca="1">INDIRECT("'Data 5'!AL"&amp;IF('Plot Layout'!F10="",2,'Plot Layout'!F10+1))</f>
        <v>0</v>
      </c>
      <c r="AM6">
        <f ca="1">INDIRECT("'Data 5'!AM"&amp;IF('Plot Layout'!F10="",2,'Plot Layout'!F10+1))</f>
        <v>0</v>
      </c>
      <c r="AN6">
        <f ca="1">INDIRECT("'Data 5'!AN"&amp;IF('Plot Layout'!F10="",2,'Plot Layout'!F10+1))</f>
        <v>0</v>
      </c>
      <c r="AO6">
        <f ca="1">INDIRECT("'Data 5'!AO"&amp;IF('Plot Layout'!F10="",2,'Plot Layout'!F10+1))</f>
        <v>0</v>
      </c>
      <c r="AP6">
        <f ca="1">INDIRECT("'Data 5'!AP"&amp;IF('Plot Layout'!F10="",2,'Plot Layout'!F10+1))</f>
        <v>0</v>
      </c>
      <c r="AQ6">
        <f ca="1">INDIRECT("'Data 5'!AQ"&amp;IF('Plot Layout'!F10="",2,'Plot Layout'!F10+1))</f>
        <v>0</v>
      </c>
      <c r="AR6">
        <f ca="1">INDIRECT("'Data 5'!AR"&amp;IF('Plot Layout'!F10="",2,'Plot Layout'!F10+1))</f>
        <v>0</v>
      </c>
      <c r="AS6">
        <f ca="1">INDIRECT("'Data 5'!AS"&amp;IF('Plot Layout'!F10="",2,'Plot Layout'!F10+1))</f>
        <v>0</v>
      </c>
      <c r="AT6">
        <f ca="1">INDIRECT("'Data 5'!AT"&amp;IF('Plot Layout'!F10="",2,'Plot Layout'!F10+1))</f>
        <v>0</v>
      </c>
      <c r="AU6">
        <f ca="1">INDIRECT("'Data 5'!AU"&amp;IF('Plot Layout'!F10="",2,'Plot Layout'!F10+1))</f>
        <v>0</v>
      </c>
      <c r="AV6">
        <f ca="1">INDIRECT("'Data 5'!AV"&amp;IF('Plot Layout'!F10="",2,'Plot Layout'!F10+1))</f>
        <v>0</v>
      </c>
      <c r="AW6">
        <f ca="1">INDIRECT("'Data 5'!AW"&amp;IF('Plot Layout'!F10="",2,'Plot Layout'!F10+1))</f>
        <v>0</v>
      </c>
      <c r="AX6">
        <f ca="1">INDIRECT("'Data 5'!AX"&amp;IF('Plot Layout'!F10="",2,'Plot Layout'!F10+1))</f>
        <v>0</v>
      </c>
      <c r="AY6">
        <f ca="1">INDIRECT("'Data 5'!AY"&amp;IF('Plot Layout'!F10="",2,'Plot Layout'!F10+1))</f>
        <v>0</v>
      </c>
      <c r="AZ6">
        <f ca="1">INDIRECT("'Data 5'!AZ"&amp;IF('Plot Layout'!F10="",2,'Plot Layout'!F10+1))</f>
        <v>0</v>
      </c>
      <c r="BA6">
        <f ca="1">INDIRECT("'Data 5'!BA"&amp;IF('Plot Layout'!F10="",2,'Plot Layout'!F10+1))</f>
        <v>0</v>
      </c>
      <c r="BB6">
        <f ca="1">INDIRECT("'Data 5'!BB"&amp;IF('Plot Layout'!F10="",2,'Plot Layout'!F10+1))</f>
        <v>0</v>
      </c>
      <c r="BC6">
        <f ca="1">INDIRECT("'Data 5'!BC"&amp;IF('Plot Layout'!F10="",2,'Plot Layout'!F10+1))</f>
        <v>0</v>
      </c>
      <c r="BD6">
        <f ca="1">INDIRECT("'Data 5'!BD"&amp;IF('Plot Layout'!F10="",2,'Plot Layout'!F10+1))</f>
        <v>0</v>
      </c>
      <c r="BE6">
        <f ca="1">INDIRECT("'Data 5'!BE"&amp;IF('Plot Layout'!F10="",2,'Plot Layout'!F10+1))</f>
        <v>0</v>
      </c>
      <c r="BF6">
        <f ca="1">INDIRECT("'Data 5'!BF"&amp;IF('Plot Layout'!F10="",2,'Plot Layout'!F10+1))</f>
        <v>0</v>
      </c>
      <c r="BG6">
        <f ca="1">INDIRECT("'Data 5'!BG"&amp;IF('Plot Layout'!F10="",2,'Plot Layout'!F10+1))</f>
        <v>0</v>
      </c>
      <c r="BH6">
        <f ca="1">INDIRECT("'Data 5'!BH"&amp;IF('Plot Layout'!F10="",2,'Plot Layout'!F10+1))</f>
        <v>0</v>
      </c>
      <c r="BI6">
        <f ca="1">INDIRECT("'Data 5'!BI"&amp;IF('Plot Layout'!F10="",2,'Plot Layout'!F10+1))</f>
        <v>0</v>
      </c>
      <c r="BJ6">
        <f ca="1">INDIRECT("'Data 5'!BJ"&amp;IF('Plot Layout'!F10="",2,'Plot Layout'!F10+1))</f>
        <v>0</v>
      </c>
      <c r="BK6">
        <f ca="1">INDIRECT("'Data 5'!BK"&amp;IF('Plot Layout'!F10="",2,'Plot Layout'!F10+1))</f>
        <v>0</v>
      </c>
      <c r="BL6">
        <f ca="1">INDIRECT("'Data 5'!BL"&amp;IF('Plot Layout'!F10="",2,'Plot Layout'!F10+1))</f>
        <v>0</v>
      </c>
      <c r="BM6">
        <f ca="1">INDIRECT("'Data 5'!BM"&amp;IF('Plot Layout'!F10="",2,'Plot Layout'!F10+1))</f>
        <v>0</v>
      </c>
      <c r="BN6">
        <f ca="1">INDIRECT("'Data 5'!BN"&amp;IF('Plot Layout'!F10="",2,'Plot Layout'!F10+1))</f>
        <v>0</v>
      </c>
      <c r="BO6">
        <f ca="1">INDIRECT("'Data 5'!BO"&amp;IF('Plot Layout'!F10="",2,'Plot Layout'!F10+1))</f>
        <v>0</v>
      </c>
      <c r="BP6">
        <f ca="1">INDIRECT("'Data 5'!BP"&amp;IF('Plot Layout'!F10="",2,'Plot Layout'!F10+1))</f>
        <v>0</v>
      </c>
      <c r="BQ6">
        <f ca="1">INDIRECT("'Data 5'!BQ"&amp;IF('Plot Layout'!F10="",2,'Plot Layout'!F10+1))</f>
        <v>0</v>
      </c>
      <c r="BR6">
        <f ca="1">INDIRECT("'Data 5'!BR"&amp;IF('Plot Layout'!F10="",2,'Plot Layout'!F10+1))</f>
        <v>0</v>
      </c>
      <c r="BS6">
        <f ca="1">INDIRECT("'Data 5'!BS"&amp;IF('Plot Layout'!F10="",2,'Plot Layout'!F10+1))</f>
        <v>0</v>
      </c>
      <c r="BT6">
        <f ca="1">INDIRECT("'Data 5'!BT"&amp;IF('Plot Layout'!F10="",2,'Plot Layout'!F10+1))</f>
        <v>0</v>
      </c>
      <c r="BU6">
        <f ca="1">INDIRECT("'Data 5'!BU"&amp;IF('Plot Layout'!F10="",2,'Plot Layout'!F10+1))</f>
        <v>0</v>
      </c>
      <c r="BV6">
        <f ca="1">INDIRECT("'Data 5'!BV"&amp;IF('Plot Layout'!F10="",2,'Plot Layout'!F10+1))</f>
        <v>0</v>
      </c>
      <c r="BW6">
        <f ca="1">INDIRECT("'Data 5'!BW"&amp;IF('Plot Layout'!F10="",2,'Plot Layout'!F10+1))</f>
        <v>0</v>
      </c>
      <c r="BX6">
        <f ca="1">INDIRECT("'Data 5'!BX"&amp;IF('Plot Layout'!F10="",2,'Plot Layout'!F10+1))</f>
        <v>0</v>
      </c>
      <c r="BY6">
        <f ca="1">INDIRECT("'Data 5'!BY"&amp;IF('Plot Layout'!F10="",2,'Plot Layout'!F10+1))</f>
        <v>0</v>
      </c>
      <c r="BZ6">
        <f ca="1">INDIRECT("'Data 5'!BZ"&amp;IF('Plot Layout'!F10="",2,'Plot Layout'!F10+1))</f>
        <v>0</v>
      </c>
      <c r="CA6">
        <f ca="1">INDIRECT("'Data 5'!CA"&amp;IF('Plot Layout'!F10="",2,'Plot Layout'!F10+1))</f>
        <v>0</v>
      </c>
      <c r="CB6">
        <f ca="1">INDIRECT("'Data 5'!CB"&amp;IF('Plot Layout'!F10="",2,'Plot Layout'!F10+1))</f>
        <v>0</v>
      </c>
      <c r="CC6">
        <f ca="1">INDIRECT("'Data 5'!CC"&amp;IF('Plot Layout'!F10="",2,'Plot Layout'!F10+1))</f>
        <v>0</v>
      </c>
      <c r="CD6">
        <f ca="1">INDIRECT("'Data 5'!CD"&amp;IF('Plot Layout'!F10="",2,'Plot Layout'!F10+1))</f>
        <v>0</v>
      </c>
      <c r="CE6">
        <f ca="1">INDIRECT("'Data 5'!CE"&amp;IF('Plot Layout'!F10="",2,'Plot Layout'!F10+1))</f>
        <v>0</v>
      </c>
      <c r="CF6">
        <f ca="1">INDIRECT("'Data 5'!CF"&amp;IF('Plot Layout'!F10="",2,'Plot Layout'!F10+1))</f>
        <v>0</v>
      </c>
      <c r="CG6">
        <f ca="1">INDIRECT("'Data 5'!CG"&amp;IF('Plot Layout'!F10="",2,'Plot Layout'!F10+1))</f>
        <v>0</v>
      </c>
      <c r="CH6">
        <f ca="1">INDIRECT("'Data 5'!CH"&amp;IF('Plot Layout'!F10="",2,'Plot Layout'!F10+1))</f>
        <v>0</v>
      </c>
      <c r="CI6">
        <f ca="1">INDIRECT("'Data 5'!CI"&amp;IF('Plot Layout'!F10="",2,'Plot Layout'!F10+1))</f>
        <v>0</v>
      </c>
      <c r="CJ6">
        <f ca="1">INDIRECT("'Data 5'!CJ"&amp;IF('Plot Layout'!F10="",2,'Plot Layout'!F10+1))</f>
        <v>0</v>
      </c>
      <c r="CK6">
        <f ca="1">INDIRECT("'Data 5'!CK"&amp;IF('Plot Layout'!F10="",2,'Plot Layout'!F10+1))</f>
        <v>0</v>
      </c>
      <c r="CL6">
        <f ca="1">INDIRECT("'Data 5'!CL"&amp;IF('Plot Layout'!F10="",2,'Plot Layout'!F10+1))</f>
        <v>0</v>
      </c>
      <c r="CM6">
        <f ca="1">INDIRECT("'Data 5'!CM"&amp;IF('Plot Layout'!F10="",2,'Plot Layout'!F10+1))</f>
        <v>0</v>
      </c>
      <c r="CN6">
        <f ca="1">INDIRECT("'Data 5'!CN"&amp;IF('Plot Layout'!F10="",2,'Plot Layout'!F10+1))</f>
        <v>0</v>
      </c>
      <c r="CO6">
        <f ca="1">INDIRECT("'Data 5'!CO"&amp;IF('Plot Layout'!F10="",2,'Plot Layout'!F10+1))</f>
        <v>0</v>
      </c>
      <c r="CP6">
        <f ca="1">INDIRECT("'Data 5'!CP"&amp;IF('Plot Layout'!F10="",2,'Plot Layout'!F10+1))</f>
        <v>0</v>
      </c>
      <c r="CQ6">
        <f ca="1">INDIRECT("'Data 5'!CQ"&amp;IF('Plot Layout'!F10="",2,'Plot Layout'!F10+1))</f>
        <v>0</v>
      </c>
      <c r="CR6">
        <f ca="1">INDIRECT("'Data 5'!CR"&amp;IF('Plot Layout'!F10="",2,'Plot Layout'!F10+1))</f>
        <v>0</v>
      </c>
      <c r="CS6">
        <f ca="1">INDIRECT("'Data 5'!CS"&amp;IF('Plot Layout'!F10="",2,'Plot Layout'!F10+1))</f>
        <v>0</v>
      </c>
      <c r="CT6">
        <f ca="1">INDIRECT("'Data 5'!CT"&amp;IF('Plot Layout'!F10="",2,'Plot Layout'!F10+1))</f>
        <v>0</v>
      </c>
      <c r="CU6">
        <f ca="1">INDIRECT("'Data 5'!CU"&amp;IF('Plot Layout'!F10="",2,'Plot Layout'!F10+1))</f>
        <v>0</v>
      </c>
      <c r="CV6">
        <f ca="1">INDIRECT("'Data 5'!CV"&amp;IF('Plot Layout'!F10="",2,'Plot Layout'!F10+1))</f>
        <v>0</v>
      </c>
      <c r="CW6">
        <f ca="1">INDIRECT("'Data 5'!CW"&amp;IF('Plot Layout'!F10="",2,'Plot Layout'!F10+1))</f>
        <v>0</v>
      </c>
      <c r="CX6">
        <f ca="1">INDIRECT("'Data 5'!CX"&amp;IF('Plot Layout'!F10="",2,'Plot Layout'!F10+1))</f>
        <v>0</v>
      </c>
      <c r="CY6">
        <f ca="1">INDIRECT("'Data 5'!CY"&amp;IF('Plot Layout'!F10="",2,'Plot Layout'!F10+1))</f>
        <v>0</v>
      </c>
      <c r="CZ6">
        <f ca="1">INDIRECT("'Data 5'!CZ"&amp;IF('Plot Layout'!F10="",2,'Plot Layout'!F10+1))</f>
        <v>0</v>
      </c>
      <c r="DA6">
        <f ca="1">INDIRECT("'Data 5'!DA"&amp;IF('Plot Layout'!F10="",2,'Plot Layout'!F10+1))</f>
        <v>0</v>
      </c>
      <c r="DB6">
        <f ca="1">INDIRECT("'Data 5'!DB"&amp;IF('Plot Layout'!F10="",2,'Plot Layout'!F10+1))</f>
        <v>0</v>
      </c>
      <c r="DC6">
        <f ca="1">INDIRECT("'Data 5'!DC"&amp;IF('Plot Layout'!F10="",2,'Plot Layout'!F10+1))</f>
        <v>0</v>
      </c>
      <c r="DD6">
        <f ca="1">INDIRECT("'Data 5'!DD"&amp;IF('Plot Layout'!F10="",2,'Plot Layout'!F10+1))</f>
        <v>0</v>
      </c>
      <c r="DE6">
        <f ca="1">INDIRECT("'Data 5'!DE"&amp;IF('Plot Layout'!F10="",2,'Plot Layout'!F10+1))</f>
        <v>0</v>
      </c>
      <c r="DF6">
        <f ca="1">INDIRECT("'Data 5'!DF"&amp;IF('Plot Layout'!F10="",2,'Plot Layout'!F10+1))</f>
        <v>0</v>
      </c>
      <c r="DG6">
        <f ca="1">INDIRECT("'Data 5'!DG"&amp;IF('Plot Layout'!F10="",2,'Plot Layout'!F10+1))</f>
        <v>0</v>
      </c>
      <c r="DH6">
        <f ca="1">INDIRECT("'Data 5'!DH"&amp;IF('Plot Layout'!F10="",2,'Plot Layout'!F10+1))</f>
        <v>0</v>
      </c>
      <c r="DI6">
        <f ca="1">INDIRECT("'Data 5'!DI"&amp;IF('Plot Layout'!F10="",2,'Plot Layout'!F10+1))</f>
        <v>0</v>
      </c>
      <c r="DJ6">
        <f ca="1">INDIRECT("'Data 5'!DJ"&amp;IF('Plot Layout'!F10="",2,'Plot Layout'!F10+1))</f>
        <v>0</v>
      </c>
      <c r="DK6">
        <f ca="1">INDIRECT("'Data 5'!DK"&amp;IF('Plot Layout'!F10="",2,'Plot Layout'!F10+1))</f>
        <v>0</v>
      </c>
      <c r="DL6">
        <f ca="1">INDIRECT("'Data 5'!DL"&amp;IF('Plot Layout'!F10="",2,'Plot Layout'!F10+1))</f>
        <v>0</v>
      </c>
      <c r="DM6">
        <f ca="1">INDIRECT("'Data 5'!DM"&amp;IF('Plot Layout'!F10="",2,'Plot Layout'!F10+1))</f>
        <v>0</v>
      </c>
      <c r="DN6">
        <f ca="1">INDIRECT("'Data 5'!DN"&amp;IF('Plot Layout'!F10="",2,'Plot Layout'!F10+1))</f>
        <v>0</v>
      </c>
      <c r="DO6">
        <f ca="1">INDIRECT("'Data 5'!DO"&amp;IF('Plot Layout'!F10="",2,'Plot Layout'!F10+1))</f>
        <v>0</v>
      </c>
      <c r="DP6">
        <f ca="1">INDIRECT("'Data 5'!DP"&amp;IF('Plot Layout'!F10="",2,'Plot Layout'!F10+1))</f>
        <v>0</v>
      </c>
      <c r="DQ6">
        <f ca="1">INDIRECT("'Data 5'!DQ"&amp;IF('Plot Layout'!F10="",2,'Plot Layout'!F10+1))</f>
        <v>0</v>
      </c>
      <c r="DR6">
        <f ca="1">INDIRECT("'Data 5'!DR"&amp;IF('Plot Layout'!F10="",2,'Plot Layout'!F10+1))</f>
        <v>0</v>
      </c>
      <c r="DS6">
        <f ca="1">INDIRECT("'Data 5'!DS"&amp;IF('Plot Layout'!F10="",2,'Plot Layout'!F10+1))</f>
        <v>0</v>
      </c>
      <c r="DT6">
        <f ca="1">INDIRECT("'Data 5'!DT"&amp;IF('Plot Layout'!F10="",2,'Plot Layout'!F10+1))</f>
        <v>0</v>
      </c>
      <c r="DU6">
        <f ca="1">INDIRECT("'Data 5'!DU"&amp;IF('Plot Layout'!F10="",2,'Plot Layout'!F10+1))</f>
        <v>0</v>
      </c>
      <c r="DV6">
        <f ca="1">INDIRECT("'Data 5'!DV"&amp;IF('Plot Layout'!F10="",2,'Plot Layout'!F10+1))</f>
        <v>0</v>
      </c>
      <c r="DW6">
        <f ca="1">INDIRECT("'Data 5'!DW"&amp;IF('Plot Layout'!F10="",2,'Plot Layout'!F10+1))</f>
        <v>0</v>
      </c>
      <c r="DX6">
        <f ca="1">INDIRECT("'Data 5'!DX"&amp;IF('Plot Layout'!F10="",2,'Plot Layout'!F10+1))</f>
        <v>0</v>
      </c>
      <c r="DY6">
        <f ca="1">INDIRECT("'Data 5'!DY"&amp;IF('Plot Layout'!F10="",2,'Plot Layout'!F10+1))</f>
        <v>0</v>
      </c>
      <c r="DZ6">
        <f ca="1">INDIRECT("'Data 5'!DZ"&amp;IF('Plot Layout'!F10="",2,'Plot Layout'!F10+1))</f>
        <v>0</v>
      </c>
      <c r="EA6">
        <f ca="1">INDIRECT("'Data 5'!EA"&amp;IF('Plot Layout'!F10="",2,'Plot Layout'!F10+1))</f>
        <v>0</v>
      </c>
      <c r="EB6">
        <f ca="1">INDIRECT("'Data 5'!EB"&amp;IF('Plot Layout'!F10="",2,'Plot Layout'!F10+1))</f>
        <v>0</v>
      </c>
      <c r="EC6">
        <f ca="1">INDIRECT("'Data 5'!EC"&amp;IF('Plot Layout'!F10="",2,'Plot Layout'!F10+1))</f>
        <v>0</v>
      </c>
      <c r="ED6">
        <f ca="1">INDIRECT("'Data 5'!ED"&amp;IF('Plot Layout'!F10="",2,'Plot Layout'!F10+1))</f>
        <v>0</v>
      </c>
      <c r="EE6">
        <f ca="1">INDIRECT("'Data 5'!EE"&amp;IF('Plot Layout'!F10="",2,'Plot Layout'!F10+1))</f>
        <v>0</v>
      </c>
      <c r="EF6">
        <f ca="1">INDIRECT("'Data 5'!EF"&amp;IF('Plot Layout'!F10="",2,'Plot Layout'!F10+1))</f>
        <v>0</v>
      </c>
      <c r="EG6">
        <f ca="1">INDIRECT("'Data 5'!EG"&amp;IF('Plot Layout'!F10="",2,'Plot Layout'!F10+1))</f>
        <v>0</v>
      </c>
      <c r="EH6">
        <f ca="1">INDIRECT("'Data 5'!EH"&amp;IF('Plot Layout'!F10="",2,'Plot Layout'!F10+1))</f>
        <v>0</v>
      </c>
      <c r="EI6">
        <f ca="1">INDIRECT("'Data 5'!EI"&amp;IF('Plot Layout'!F10="",2,'Plot Layout'!F10+1))</f>
        <v>0</v>
      </c>
      <c r="EJ6">
        <f ca="1">INDIRECT("'Data 5'!EJ"&amp;IF('Plot Layout'!F10="",2,'Plot Layout'!F10+1))</f>
        <v>0</v>
      </c>
      <c r="EK6">
        <f ca="1">INDIRECT("'Data 5'!EK"&amp;IF('Plot Layout'!F10="",2,'Plot Layout'!F10+1))</f>
        <v>0</v>
      </c>
      <c r="EL6">
        <f ca="1">INDIRECT("'Data 5'!EL"&amp;IF('Plot Layout'!F10="",2,'Plot Layout'!F10+1))</f>
        <v>0</v>
      </c>
      <c r="EM6">
        <f ca="1">INDIRECT("'Data 5'!EM"&amp;IF('Plot Layout'!F10="",2,'Plot Layout'!F10+1))</f>
        <v>0</v>
      </c>
      <c r="EN6">
        <f ca="1">INDIRECT("'Data 5'!EN"&amp;IF('Plot Layout'!F10="",2,'Plot Layout'!F10+1))</f>
        <v>0</v>
      </c>
      <c r="EO6">
        <f ca="1">INDIRECT("'Data 5'!EO"&amp;IF('Plot Layout'!F10="",2,'Plot Layout'!F10+1))</f>
        <v>0</v>
      </c>
      <c r="EP6">
        <f ca="1">INDIRECT("'Data 5'!EP"&amp;IF('Plot Layout'!F10="",2,'Plot Layout'!F10+1))</f>
        <v>0</v>
      </c>
      <c r="EQ6">
        <f ca="1">INDIRECT("'Data 5'!EQ"&amp;IF('Plot Layout'!F10="",2,'Plot Layout'!F10+1))</f>
        <v>0</v>
      </c>
      <c r="ER6">
        <f ca="1">INDIRECT("'Data 5'!ER"&amp;IF('Plot Layout'!F10="",2,'Plot Layout'!F10+1))</f>
        <v>0</v>
      </c>
      <c r="ES6">
        <f ca="1">INDIRECT("'Data 5'!ES"&amp;IF('Plot Layout'!F10="",2,'Plot Layout'!F10+1))</f>
        <v>0</v>
      </c>
      <c r="ET6">
        <f ca="1">INDIRECT("'Data 5'!ET"&amp;IF('Plot Layout'!F10="",2,'Plot Layout'!F10+1))</f>
        <v>0</v>
      </c>
      <c r="EU6">
        <f ca="1">INDIRECT("'Data 5'!EU"&amp;IF('Plot Layout'!F10="",2,'Plot Layout'!F10+1))</f>
        <v>0</v>
      </c>
      <c r="EV6">
        <f ca="1">INDIRECT("'Data 5'!EV"&amp;IF('Plot Layout'!F10="",2,'Plot Layout'!F10+1))</f>
        <v>0</v>
      </c>
      <c r="EW6">
        <f ca="1">INDIRECT("'Data 5'!EW"&amp;IF('Plot Layout'!F10="",2,'Plot Layout'!F10+1))</f>
        <v>0</v>
      </c>
      <c r="EX6">
        <f ca="1">INDIRECT("'Data 5'!EX"&amp;IF('Plot Layout'!F10="",2,'Plot Layout'!F10+1))</f>
        <v>0</v>
      </c>
      <c r="EY6">
        <f ca="1">INDIRECT("'Data 5'!EY"&amp;IF('Plot Layout'!F10="",2,'Plot Layout'!F10+1))</f>
        <v>0</v>
      </c>
      <c r="EZ6">
        <f ca="1">INDIRECT("'Data 5'!EZ"&amp;IF('Plot Layout'!F10="",2,'Plot Layout'!F10+1))</f>
        <v>0</v>
      </c>
      <c r="FA6">
        <f ca="1">INDIRECT("'Data 5'!FA"&amp;IF('Plot Layout'!F10="",2,'Plot Layout'!F10+1))</f>
        <v>0</v>
      </c>
      <c r="FB6">
        <f ca="1">INDIRECT("'Data 5'!FB"&amp;IF('Plot Layout'!F10="",2,'Plot Layout'!F10+1))</f>
        <v>0</v>
      </c>
      <c r="FC6">
        <f ca="1">INDIRECT("'Data 5'!FC"&amp;IF('Plot Layout'!F10="",2,'Plot Layout'!F10+1))</f>
        <v>0</v>
      </c>
      <c r="FD6">
        <f ca="1">INDIRECT("'Data 5'!FD"&amp;IF('Plot Layout'!F10="",2,'Plot Layout'!F10+1))</f>
        <v>0</v>
      </c>
      <c r="FE6">
        <f ca="1">INDIRECT("'Data 5'!FE"&amp;IF('Plot Layout'!F10="",2,'Plot Layout'!F10+1))</f>
        <v>0</v>
      </c>
      <c r="FF6">
        <f ca="1">INDIRECT("'Data 5'!FF"&amp;IF('Plot Layout'!F10="",2,'Plot Layout'!F10+1))</f>
        <v>0</v>
      </c>
      <c r="FG6">
        <f ca="1">INDIRECT("'Data 5'!FG"&amp;IF('Plot Layout'!F10="",2,'Plot Layout'!F10+1))</f>
        <v>0</v>
      </c>
      <c r="FH6">
        <f ca="1">INDIRECT("'Data 5'!FH"&amp;IF('Plot Layout'!F10="",2,'Plot Layout'!F10+1))</f>
        <v>0</v>
      </c>
      <c r="FI6">
        <f ca="1">INDIRECT("'Data 5'!FI"&amp;IF('Plot Layout'!F10="",2,'Plot Layout'!F10+1))</f>
        <v>0</v>
      </c>
      <c r="FJ6">
        <f ca="1">INDIRECT("'Data 5'!FJ"&amp;IF('Plot Layout'!F10="",2,'Plot Layout'!F10+1))</f>
        <v>0</v>
      </c>
      <c r="FK6">
        <f ca="1">INDIRECT("'Data 5'!FK"&amp;IF('Plot Layout'!F10="",2,'Plot Layout'!F10+1))</f>
        <v>0</v>
      </c>
      <c r="FL6">
        <f ca="1">INDIRECT("'Data 5'!FL"&amp;IF('Plot Layout'!F10="",2,'Plot Layout'!F10+1))</f>
        <v>0</v>
      </c>
      <c r="FM6">
        <f ca="1">INDIRECT("'Data 5'!FM"&amp;IF('Plot Layout'!F10="",2,'Plot Layout'!F10+1))</f>
        <v>0</v>
      </c>
      <c r="FN6">
        <f ca="1">INDIRECT("'Data 5'!FN"&amp;IF('Plot Layout'!F10="",2,'Plot Layout'!F10+1))</f>
        <v>0</v>
      </c>
      <c r="FO6">
        <f ca="1">INDIRECT("'Data 5'!FO"&amp;IF('Plot Layout'!F10="",2,'Plot Layout'!F10+1))</f>
        <v>0</v>
      </c>
      <c r="FP6">
        <f ca="1">INDIRECT("'Data 5'!FP"&amp;IF('Plot Layout'!F10="",2,'Plot Layout'!F10+1))</f>
        <v>0</v>
      </c>
      <c r="FQ6">
        <f ca="1">INDIRECT("'Data 5'!FQ"&amp;IF('Plot Layout'!F10="",2,'Plot Layout'!F10+1))</f>
        <v>0</v>
      </c>
      <c r="FR6">
        <f ca="1">INDIRECT("'Data 5'!FR"&amp;IF('Plot Layout'!F10="",2,'Plot Layout'!F10+1))</f>
        <v>0</v>
      </c>
      <c r="FS6">
        <f ca="1">INDIRECT("'Data 5'!FS"&amp;IF('Plot Layout'!F10="",2,'Plot Layout'!F10+1))</f>
        <v>0</v>
      </c>
      <c r="FT6">
        <f ca="1">INDIRECT("'Data 5'!FT"&amp;IF('Plot Layout'!F10="",2,'Plot Layout'!F10+1))</f>
        <v>0</v>
      </c>
      <c r="FU6">
        <f ca="1">INDIRECT("'Data 5'!FU"&amp;IF('Plot Layout'!F10="",2,'Plot Layout'!F10+1))</f>
        <v>0</v>
      </c>
      <c r="FV6">
        <f ca="1">INDIRECT("'Data 5'!FV"&amp;IF('Plot Layout'!F10="",2,'Plot Layout'!F10+1))</f>
        <v>0</v>
      </c>
      <c r="FW6">
        <f ca="1">INDIRECT("'Data 5'!FW"&amp;IF('Plot Layout'!F10="",2,'Plot Layout'!F10+1))</f>
        <v>0</v>
      </c>
      <c r="FX6">
        <f ca="1">INDIRECT("'Data 5'!FX"&amp;IF('Plot Layout'!F10="",2,'Plot Layout'!F10+1))</f>
        <v>0</v>
      </c>
      <c r="FY6">
        <f ca="1">INDIRECT("'Data 5'!FY"&amp;IF('Plot Layout'!F10="",2,'Plot Layout'!F10+1))</f>
        <v>0</v>
      </c>
      <c r="FZ6">
        <f ca="1">INDIRECT("'Data 5'!FZ"&amp;IF('Plot Layout'!F10="",2,'Plot Layout'!F10+1))</f>
        <v>0</v>
      </c>
      <c r="GA6">
        <f ca="1">INDIRECT("'Data 5'!GA"&amp;IF('Plot Layout'!F10="",2,'Plot Layout'!F10+1))</f>
        <v>0</v>
      </c>
      <c r="GB6">
        <f ca="1">INDIRECT("'Data 5'!GB"&amp;IF('Plot Layout'!F10="",2,'Plot Layout'!F10+1))</f>
        <v>0</v>
      </c>
      <c r="GC6">
        <f ca="1">INDIRECT("'Data 5'!GC"&amp;IF('Plot Layout'!F10="",2,'Plot Layout'!F10+1))</f>
        <v>0</v>
      </c>
      <c r="GD6">
        <f ca="1">INDIRECT("'Data 5'!GD"&amp;IF('Plot Layout'!F10="",2,'Plot Layout'!F10+1))</f>
        <v>0</v>
      </c>
      <c r="GE6">
        <f ca="1">INDIRECT("'Data 5'!GE"&amp;IF('Plot Layout'!F10="",2,'Plot Layout'!F10+1))</f>
        <v>0</v>
      </c>
      <c r="GF6">
        <f ca="1">INDIRECT("'Data 5'!GF"&amp;IF('Plot Layout'!F10="",2,'Plot Layout'!F10+1))</f>
        <v>0</v>
      </c>
      <c r="GG6">
        <f ca="1">INDIRECT("'Data 5'!GG"&amp;IF('Plot Layout'!F10="",2,'Plot Layout'!F10+1))</f>
        <v>0</v>
      </c>
      <c r="GH6">
        <f ca="1">INDIRECT("'Data 5'!GH"&amp;IF('Plot Layout'!F10="",2,'Plot Layout'!F10+1))</f>
        <v>0</v>
      </c>
      <c r="GI6">
        <f ca="1">INDIRECT("'Data 5'!GI"&amp;IF('Plot Layout'!F10="",2,'Plot Layout'!F10+1))</f>
        <v>0</v>
      </c>
      <c r="GJ6">
        <f ca="1">INDIRECT("'Data 5'!GJ"&amp;IF('Plot Layout'!F10="",2,'Plot Layout'!F10+1))</f>
        <v>0</v>
      </c>
      <c r="GK6">
        <f ca="1">INDIRECT("'Data 5'!GK"&amp;IF('Plot Layout'!F10="",2,'Plot Layout'!F10+1))</f>
        <v>0</v>
      </c>
      <c r="GL6">
        <f ca="1">INDIRECT("'Data 5'!GL"&amp;IF('Plot Layout'!F10="",2,'Plot Layout'!F10+1))</f>
        <v>0</v>
      </c>
      <c r="GM6">
        <f ca="1">INDIRECT("'Data 5'!GM"&amp;IF('Plot Layout'!F10="",2,'Plot Layout'!F10+1))</f>
        <v>0</v>
      </c>
      <c r="GN6">
        <f ca="1">INDIRECT("'Data 5'!GN"&amp;IF('Plot Layout'!F10="",2,'Plot Layout'!F10+1))</f>
        <v>0</v>
      </c>
      <c r="GO6">
        <f ca="1">INDIRECT("'Data 5'!GO"&amp;IF('Plot Layout'!F10="",2,'Plot Layout'!F10+1))</f>
        <v>0</v>
      </c>
      <c r="GP6">
        <f ca="1">INDIRECT("'Data 5'!GP"&amp;IF('Plot Layout'!F10="",2,'Plot Layout'!F10+1))</f>
        <v>0</v>
      </c>
      <c r="GQ6">
        <f ca="1">INDIRECT("'Data 5'!GQ"&amp;IF('Plot Layout'!F10="",2,'Plot Layout'!F10+1))</f>
        <v>0</v>
      </c>
      <c r="GR6">
        <f ca="1">INDIRECT("'Data 5'!GR"&amp;IF('Plot Layout'!F10="",2,'Plot Layout'!F10+1))</f>
        <v>0</v>
      </c>
      <c r="GS6">
        <f ca="1">INDIRECT("'Data 5'!GS"&amp;IF('Plot Layout'!F10="",2,'Plot Layout'!F10+1))</f>
        <v>0</v>
      </c>
      <c r="GT6">
        <f ca="1">INDIRECT("'Data 5'!GT"&amp;IF('Plot Layout'!F10="",2,'Plot Layout'!F10+1))</f>
        <v>0</v>
      </c>
      <c r="GU6">
        <f ca="1">INDIRECT("'Data 5'!GU"&amp;IF('Plot Layout'!F10="",2,'Plot Layout'!F10+1))</f>
        <v>0</v>
      </c>
      <c r="GV6">
        <f ca="1">INDIRECT("'Data 5'!GV"&amp;IF('Plot Layout'!F10="",2,'Plot Layout'!F10+1))</f>
        <v>0</v>
      </c>
      <c r="GW6">
        <f ca="1">INDIRECT("'Data 5'!GW"&amp;IF('Plot Layout'!F10="",2,'Plot Layout'!F10+1))</f>
        <v>0</v>
      </c>
      <c r="GX6">
        <f ca="1">INDIRECT("'Data 5'!GX"&amp;IF('Plot Layout'!F10="",2,'Plot Layout'!F10+1))</f>
        <v>0</v>
      </c>
      <c r="GY6">
        <f ca="1">INDIRECT("'Data 5'!GY"&amp;IF('Plot Layout'!F10="",2,'Plot Layout'!F10+1))</f>
        <v>0</v>
      </c>
      <c r="GZ6">
        <f ca="1">INDIRECT("'Data 5'!GZ"&amp;IF('Plot Layout'!F10="",2,'Plot Layout'!F10+1))</f>
        <v>0</v>
      </c>
      <c r="HA6">
        <f ca="1">INDIRECT("'Data 5'!HA"&amp;IF('Plot Layout'!F10="",2,'Plot Layout'!F10+1))</f>
        <v>0</v>
      </c>
      <c r="HB6">
        <f ca="1">INDIRECT("'Data 5'!HB"&amp;IF('Plot Layout'!F10="",2,'Plot Layout'!F10+1))</f>
        <v>0</v>
      </c>
      <c r="HC6">
        <f ca="1">INDIRECT("'Data 5'!HC"&amp;IF('Plot Layout'!F10="",2,'Plot Layout'!F10+1))</f>
        <v>0</v>
      </c>
      <c r="HD6">
        <f ca="1">INDIRECT("'Data 5'!HD"&amp;IF('Plot Layout'!F10="",2,'Plot Layout'!F10+1))</f>
        <v>0</v>
      </c>
      <c r="HE6">
        <f ca="1">INDIRECT("'Data 5'!HE"&amp;IF('Plot Layout'!F10="",2,'Plot Layout'!F10+1))</f>
        <v>0</v>
      </c>
      <c r="HF6">
        <f ca="1">INDIRECT("'Data 5'!HF"&amp;IF('Plot Layout'!F10="",2,'Plot Layout'!F10+1))</f>
        <v>0</v>
      </c>
      <c r="HG6">
        <f ca="1">INDIRECT("'Data 5'!HG"&amp;IF('Plot Layout'!F10="",2,'Plot Layout'!F10+1))</f>
        <v>0</v>
      </c>
      <c r="HH6">
        <f ca="1">INDIRECT("'Data 5'!HH"&amp;IF('Plot Layout'!F10="",2,'Plot Layout'!F10+1))</f>
        <v>0</v>
      </c>
      <c r="HI6">
        <f ca="1">INDIRECT("'Data 5'!HI"&amp;IF('Plot Layout'!F10="",2,'Plot Layout'!F10+1))</f>
        <v>0</v>
      </c>
      <c r="HJ6">
        <f ca="1">INDIRECT("'Data 5'!HJ"&amp;IF('Plot Layout'!F10="",2,'Plot Layout'!F10+1))</f>
        <v>0</v>
      </c>
      <c r="HK6">
        <f ca="1">INDIRECT("'Data 5'!HK"&amp;IF('Plot Layout'!F10="",2,'Plot Layout'!F10+1))</f>
        <v>0</v>
      </c>
      <c r="HL6">
        <f ca="1">INDIRECT("'Data 5'!HL"&amp;IF('Plot Layout'!F10="",2,'Plot Layout'!F10+1))</f>
        <v>0</v>
      </c>
      <c r="HM6">
        <f ca="1">INDIRECT("'Data 5'!HM"&amp;IF('Plot Layout'!F10="",2,'Plot Layout'!F10+1))</f>
        <v>0</v>
      </c>
      <c r="HN6">
        <f ca="1">INDIRECT("'Data 5'!HN"&amp;IF('Plot Layout'!F10="",2,'Plot Layout'!F10+1))</f>
        <v>0</v>
      </c>
      <c r="HO6">
        <f ca="1">INDIRECT("'Data 5'!HO"&amp;IF('Plot Layout'!F10="",2,'Plot Layout'!F10+1))</f>
        <v>0</v>
      </c>
      <c r="HP6">
        <f ca="1">INDIRECT("'Data 5'!HP"&amp;IF('Plot Layout'!F10="",2,'Plot Layout'!F10+1))</f>
        <v>0</v>
      </c>
      <c r="HQ6">
        <f ca="1">INDIRECT("'Data 5'!HQ"&amp;IF('Plot Layout'!F10="",2,'Plot Layout'!F10+1))</f>
        <v>0</v>
      </c>
      <c r="HR6">
        <f ca="1">INDIRECT("'Data 5'!HR"&amp;IF('Plot Layout'!F10="",2,'Plot Layout'!F10+1))</f>
        <v>0</v>
      </c>
      <c r="HS6">
        <f ca="1">INDIRECT("'Data 5'!HS"&amp;IF('Plot Layout'!F10="",2,'Plot Layout'!F10+1))</f>
        <v>0</v>
      </c>
      <c r="HT6">
        <f ca="1">INDIRECT("'Data 5'!HT"&amp;IF('Plot Layout'!F10="",2,'Plot Layout'!F10+1))</f>
        <v>0</v>
      </c>
      <c r="HU6">
        <f ca="1">INDIRECT("'Data 5'!HU"&amp;IF('Plot Layout'!F10="",2,'Plot Layout'!F10+1))</f>
        <v>0</v>
      </c>
      <c r="HV6">
        <f ca="1">INDIRECT("'Data 5'!HV"&amp;IF('Plot Layout'!F10="",2,'Plot Layout'!F10+1))</f>
        <v>0</v>
      </c>
      <c r="HW6">
        <f ca="1">INDIRECT("'Data 5'!HW"&amp;IF('Plot Layout'!F10="",2,'Plot Layout'!F10+1))</f>
        <v>0</v>
      </c>
      <c r="HX6">
        <f ca="1">INDIRECT("'Data 5'!HX"&amp;IF('Plot Layout'!F10="",2,'Plot Layout'!F10+1))</f>
        <v>0</v>
      </c>
      <c r="HY6">
        <f ca="1">INDIRECT("'Data 5'!HY"&amp;IF('Plot Layout'!F10="",2,'Plot Layout'!F10+1))</f>
        <v>0</v>
      </c>
      <c r="HZ6">
        <f ca="1">INDIRECT("'Data 5'!HZ"&amp;IF('Plot Layout'!F10="",2,'Plot Layout'!F10+1))</f>
        <v>0</v>
      </c>
      <c r="IA6">
        <f ca="1">INDIRECT("'Data 5'!IA"&amp;IF('Plot Layout'!F10="",2,'Plot Layout'!F10+1))</f>
        <v>0</v>
      </c>
      <c r="IB6">
        <f ca="1">INDIRECT("'Data 5'!IB"&amp;IF('Plot Layout'!F10="",2,'Plot Layout'!F10+1))</f>
        <v>0</v>
      </c>
      <c r="IC6">
        <f ca="1">INDIRECT("'Data 5'!IC"&amp;IF('Plot Layout'!F10="",2,'Plot Layout'!F10+1))</f>
        <v>0</v>
      </c>
      <c r="ID6">
        <f ca="1">INDIRECT("'Data 5'!ID"&amp;IF('Plot Layout'!F10="",2,'Plot Layout'!F10+1))</f>
        <v>0</v>
      </c>
      <c r="IE6">
        <f ca="1">INDIRECT("'Data 5'!IE"&amp;IF('Plot Layout'!F10="",2,'Plot Layout'!F10+1))</f>
        <v>0</v>
      </c>
      <c r="IF6">
        <f ca="1">INDIRECT("'Data 5'!IF"&amp;IF('Plot Layout'!F10="",2,'Plot Layout'!F10+1))</f>
        <v>0</v>
      </c>
      <c r="IG6">
        <f ca="1">INDIRECT("'Data 5'!IG"&amp;IF('Plot Layout'!F10="",2,'Plot Layout'!F10+1))</f>
        <v>0</v>
      </c>
      <c r="IH6">
        <f ca="1">INDIRECT("'Data 5'!IH"&amp;IF('Plot Layout'!F10="",2,'Plot Layout'!F10+1))</f>
        <v>0</v>
      </c>
      <c r="II6">
        <f ca="1">INDIRECT("'Data 5'!II"&amp;IF('Plot Layout'!F10="",2,'Plot Layout'!F10+1))</f>
        <v>0</v>
      </c>
      <c r="IJ6">
        <f ca="1">INDIRECT("'Data 5'!IJ"&amp;IF('Plot Layout'!F10="",2,'Plot Layout'!F10+1))</f>
        <v>0</v>
      </c>
      <c r="IK6">
        <f ca="1">INDIRECT("'Data 5'!IK"&amp;IF('Plot Layout'!F10="",2,'Plot Layout'!F10+1))</f>
        <v>0</v>
      </c>
      <c r="IL6">
        <f ca="1">INDIRECT("'Data 5'!IL"&amp;IF('Plot Layout'!F10="",2,'Plot Layout'!F10+1))</f>
        <v>0</v>
      </c>
      <c r="IM6">
        <f ca="1">INDIRECT("'Data 5'!IM"&amp;IF('Plot Layout'!F10="",2,'Plot Layout'!F10+1))</f>
        <v>0</v>
      </c>
      <c r="IN6">
        <f ca="1">INDIRECT("'Data 5'!IN"&amp;IF('Plot Layout'!F10="",2,'Plot Layout'!F10+1))</f>
        <v>0</v>
      </c>
      <c r="IO6">
        <f ca="1">INDIRECT("'Data 5'!IO"&amp;IF('Plot Layout'!F10="",2,'Plot Layout'!F10+1))</f>
        <v>0</v>
      </c>
      <c r="IP6">
        <f ca="1">INDIRECT("'Data 5'!IP"&amp;IF('Plot Layout'!F10="",2,'Plot Layout'!F10+1))</f>
        <v>0</v>
      </c>
      <c r="IQ6">
        <f ca="1">INDIRECT("'Data 5'!IQ"&amp;IF('Plot Layout'!F10="",2,'Plot Layout'!F10+1))</f>
        <v>0</v>
      </c>
      <c r="IR6">
        <f ca="1">INDIRECT("'Data 5'!IR"&amp;IF('Plot Layout'!F10="",2,'Plot Layout'!F10+1))</f>
        <v>0</v>
      </c>
      <c r="IS6">
        <f ca="1">INDIRECT("'Data 5'!IS"&amp;IF('Plot Layout'!F10="",2,'Plot Layout'!F10+1))</f>
        <v>0</v>
      </c>
      <c r="IT6">
        <f ca="1">INDIRECT("'Data 5'!IT"&amp;IF('Plot Layout'!F10="",2,'Plot Layout'!F10+1))</f>
        <v>0</v>
      </c>
      <c r="IU6">
        <f ca="1">INDIRECT("'Data 5'!IU"&amp;IF('Plot Layout'!F10="",2,'Plot Layout'!F10+1))</f>
        <v>0</v>
      </c>
      <c r="IV6">
        <f ca="1">INDIRECT("'Data 5'!IV"&amp;IF('Plot Layout'!F10="",2,'Plot Layout'!F10+1))</f>
        <v>0</v>
      </c>
    </row>
    <row r="7" spans="1:256">
      <c r="A7">
        <f ca="1">INDIRECT("'Data 6'!A"&amp;IF('Plot Layout'!G10="",2,'Plot Layout'!G10+1))</f>
        <v>70</v>
      </c>
      <c r="B7">
        <f ca="1">INDIRECT("'Data 6'!B"&amp;IF('Plot Layout'!G10="",2,'Plot Layout'!G10+1))</f>
        <v>0.75</v>
      </c>
      <c r="C7" t="str">
        <f ca="1">INDIRECT("'Data 6'!C"&amp;IF('Plot Layout'!G10="",2,'Plot Layout'!G10+1))</f>
        <v>65-406 1% TER</v>
      </c>
      <c r="D7">
        <f ca="1">INDIRECT("'Data 6'!D"&amp;IF('Plot Layout'!G10="",2,'Plot Layout'!G10+1))</f>
        <v>2.3999999999999998E-3</v>
      </c>
      <c r="E7">
        <f ca="1">INDIRECT("'Data 6'!E"&amp;IF('Plot Layout'!G10="",2,'Plot Layout'!G10+1))</f>
        <v>0.01</v>
      </c>
      <c r="F7">
        <f ca="1">INDIRECT("'Data 6'!F"&amp;IF('Plot Layout'!G10="",2,'Plot Layout'!G10+1))</f>
        <v>0.06</v>
      </c>
      <c r="G7">
        <f ca="1">INDIRECT("'Data 6'!G"&amp;IF('Plot Layout'!G10="",2,'Plot Layout'!G10+1))</f>
        <v>4</v>
      </c>
      <c r="H7">
        <f ca="1">INDIRECT("'Data 6'!H"&amp;IF('Plot Layout'!G10="",2,'Plot Layout'!G10+1))</f>
        <v>0</v>
      </c>
      <c r="I7">
        <f ca="1">INDIRECT("'Data 6'!I"&amp;IF('Plot Layout'!G10="",2,'Plot Layout'!G10+1))</f>
        <v>4.5999999999999996</v>
      </c>
      <c r="J7">
        <f ca="1">INDIRECT("'Data 6'!J"&amp;IF('Plot Layout'!G10="",2,'Plot Layout'!G10+1))</f>
        <v>9.5</v>
      </c>
      <c r="K7">
        <f ca="1">INDIRECT("'Data 6'!K"&amp;IF('Plot Layout'!G10="",2,'Plot Layout'!G10+1))</f>
        <v>13.4</v>
      </c>
      <c r="L7">
        <f ca="1">INDIRECT("'Data 6'!L"&amp;IF('Plot Layout'!G10="",2,'Plot Layout'!G10+1))</f>
        <v>5.3</v>
      </c>
      <c r="M7">
        <f ca="1">INDIRECT("'Data 6'!M"&amp;IF('Plot Layout'!G10="",2,'Plot Layout'!G10+1))</f>
        <v>0.36899999999999999</v>
      </c>
      <c r="N7">
        <f ca="1">INDIRECT("'Data 6'!N"&amp;IF('Plot Layout'!G10="",2,'Plot Layout'!G10+1))</f>
        <v>1.0009999999999999</v>
      </c>
      <c r="O7">
        <f ca="1">INDIRECT("'Data 6'!O"&amp;IF('Plot Layout'!G10="",2,'Plot Layout'!G10+1))</f>
        <v>-1.5</v>
      </c>
      <c r="P7">
        <f ca="1">INDIRECT("'Data 6'!P"&amp;IF('Plot Layout'!G10="",2,'Plot Layout'!G10+1))</f>
        <v>0.5</v>
      </c>
      <c r="Q7">
        <f ca="1">INDIRECT("'Data 6'!Q"&amp;IF('Plot Layout'!G10="",2,'Plot Layout'!G10+1))</f>
        <v>8.9999999999999993E-3</v>
      </c>
      <c r="R7">
        <f ca="1">INDIRECT("'Data 6'!R"&amp;IF('Plot Layout'!G10="",2,'Plot Layout'!G10+1))</f>
        <v>0</v>
      </c>
      <c r="S7">
        <f ca="1">INDIRECT("'Data 6'!S"&amp;IF('Plot Layout'!G10="",2,'Plot Layout'!G10+1))</f>
        <v>0</v>
      </c>
      <c r="T7">
        <f ca="1">INDIRECT("'Data 6'!T"&amp;IF('Plot Layout'!G10="",2,'Plot Layout'!G10+1))</f>
        <v>0</v>
      </c>
      <c r="U7">
        <f ca="1">INDIRECT("'Data 6'!U"&amp;IF('Plot Layout'!G10="",2,'Plot Layout'!G10+1))</f>
        <v>0</v>
      </c>
      <c r="V7">
        <f ca="1">INDIRECT("'Data 6'!V"&amp;IF('Plot Layout'!G10="",2,'Plot Layout'!G10+1))</f>
        <v>0</v>
      </c>
      <c r="W7">
        <f ca="1">INDIRECT("'Data 6'!W"&amp;IF('Plot Layout'!G10="",2,'Plot Layout'!G10+1))</f>
        <v>0</v>
      </c>
      <c r="X7">
        <f ca="1">INDIRECT("'Data 6'!X"&amp;IF('Plot Layout'!G10="",2,'Plot Layout'!G10+1))</f>
        <v>0</v>
      </c>
      <c r="Y7">
        <f ca="1">INDIRECT("'Data 6'!Y"&amp;IF('Plot Layout'!G10="",2,'Plot Layout'!G10+1))</f>
        <v>0</v>
      </c>
      <c r="Z7">
        <f ca="1">INDIRECT("'Data 6'!Z"&amp;IF('Plot Layout'!G10="",2,'Plot Layout'!G10+1))</f>
        <v>0</v>
      </c>
      <c r="AA7">
        <f ca="1">INDIRECT("'Data 6'!AA"&amp;IF('Plot Layout'!G10="",2,'Plot Layout'!G10+1))</f>
        <v>0</v>
      </c>
      <c r="AB7">
        <f ca="1">INDIRECT("'Data 6'!AB"&amp;IF('Plot Layout'!G10="",2,'Plot Layout'!G10+1))</f>
        <v>0</v>
      </c>
      <c r="AC7">
        <f ca="1">INDIRECT("'Data 6'!AC"&amp;IF('Plot Layout'!G10="",2,'Plot Layout'!G10+1))</f>
        <v>0</v>
      </c>
      <c r="AD7">
        <f ca="1">INDIRECT("'Data 6'!AD"&amp;IF('Plot Layout'!G10="",2,'Plot Layout'!G10+1))</f>
        <v>0</v>
      </c>
      <c r="AE7">
        <f ca="1">INDIRECT("'Data 6'!AE"&amp;IF('Plot Layout'!G10="",2,'Plot Layout'!G10+1))</f>
        <v>0</v>
      </c>
      <c r="AF7">
        <f ca="1">INDIRECT("'Data 6'!AF"&amp;IF('Plot Layout'!G10="",2,'Plot Layout'!G10+1))</f>
        <v>0</v>
      </c>
      <c r="AG7">
        <f ca="1">INDIRECT("'Data 6'!AG"&amp;IF('Plot Layout'!G10="",2,'Plot Layout'!G10+1))</f>
        <v>0</v>
      </c>
      <c r="AH7">
        <f ca="1">INDIRECT("'Data 6'!AH"&amp;IF('Plot Layout'!G10="",2,'Plot Layout'!G10+1))</f>
        <v>0</v>
      </c>
      <c r="AI7">
        <f ca="1">INDIRECT("'Data 6'!AI"&amp;IF('Plot Layout'!G10="",2,'Plot Layout'!G10+1))</f>
        <v>0</v>
      </c>
      <c r="AJ7">
        <f ca="1">INDIRECT("'Data 6'!AJ"&amp;IF('Plot Layout'!G10="",2,'Plot Layout'!G10+1))</f>
        <v>0</v>
      </c>
      <c r="AK7">
        <f ca="1">INDIRECT("'Data 6'!AK"&amp;IF('Plot Layout'!G10="",2,'Plot Layout'!G10+1))</f>
        <v>0</v>
      </c>
      <c r="AL7">
        <f ca="1">INDIRECT("'Data 6'!AL"&amp;IF('Plot Layout'!G10="",2,'Plot Layout'!G10+1))</f>
        <v>0</v>
      </c>
      <c r="AM7">
        <f ca="1">INDIRECT("'Data 6'!AM"&amp;IF('Plot Layout'!G10="",2,'Plot Layout'!G10+1))</f>
        <v>0</v>
      </c>
      <c r="AN7">
        <f ca="1">INDIRECT("'Data 6'!AN"&amp;IF('Plot Layout'!G10="",2,'Plot Layout'!G10+1))</f>
        <v>0</v>
      </c>
      <c r="AO7">
        <f ca="1">INDIRECT("'Data 6'!AO"&amp;IF('Plot Layout'!G10="",2,'Plot Layout'!G10+1))</f>
        <v>0</v>
      </c>
      <c r="AP7">
        <f ca="1">INDIRECT("'Data 6'!AP"&amp;IF('Plot Layout'!G10="",2,'Plot Layout'!G10+1))</f>
        <v>0</v>
      </c>
      <c r="AQ7">
        <f ca="1">INDIRECT("'Data 6'!AQ"&amp;IF('Plot Layout'!G10="",2,'Plot Layout'!G10+1))</f>
        <v>0</v>
      </c>
      <c r="AR7">
        <f ca="1">INDIRECT("'Data 6'!AR"&amp;IF('Plot Layout'!G10="",2,'Plot Layout'!G10+1))</f>
        <v>0</v>
      </c>
      <c r="AS7">
        <f ca="1">INDIRECT("'Data 6'!AS"&amp;IF('Plot Layout'!G10="",2,'Plot Layout'!G10+1))</f>
        <v>0</v>
      </c>
      <c r="AT7">
        <f ca="1">INDIRECT("'Data 6'!AT"&amp;IF('Plot Layout'!G10="",2,'Plot Layout'!G10+1))</f>
        <v>0</v>
      </c>
      <c r="AU7">
        <f ca="1">INDIRECT("'Data 6'!AU"&amp;IF('Plot Layout'!G10="",2,'Plot Layout'!G10+1))</f>
        <v>0</v>
      </c>
      <c r="AV7">
        <f ca="1">INDIRECT("'Data 6'!AV"&amp;IF('Plot Layout'!G10="",2,'Plot Layout'!G10+1))</f>
        <v>0</v>
      </c>
      <c r="AW7">
        <f ca="1">INDIRECT("'Data 6'!AW"&amp;IF('Plot Layout'!G10="",2,'Plot Layout'!G10+1))</f>
        <v>0</v>
      </c>
      <c r="AX7">
        <f ca="1">INDIRECT("'Data 6'!AX"&amp;IF('Plot Layout'!G10="",2,'Plot Layout'!G10+1))</f>
        <v>0</v>
      </c>
      <c r="AY7">
        <f ca="1">INDIRECT("'Data 6'!AY"&amp;IF('Plot Layout'!G10="",2,'Plot Layout'!G10+1))</f>
        <v>0</v>
      </c>
      <c r="AZ7">
        <f ca="1">INDIRECT("'Data 6'!AZ"&amp;IF('Plot Layout'!G10="",2,'Plot Layout'!G10+1))</f>
        <v>0</v>
      </c>
      <c r="BA7">
        <f ca="1">INDIRECT("'Data 6'!BA"&amp;IF('Plot Layout'!G10="",2,'Plot Layout'!G10+1))</f>
        <v>0</v>
      </c>
      <c r="BB7">
        <f ca="1">INDIRECT("'Data 6'!BB"&amp;IF('Plot Layout'!G10="",2,'Plot Layout'!G10+1))</f>
        <v>0</v>
      </c>
      <c r="BC7">
        <f ca="1">INDIRECT("'Data 6'!BC"&amp;IF('Plot Layout'!G10="",2,'Plot Layout'!G10+1))</f>
        <v>0</v>
      </c>
      <c r="BD7">
        <f ca="1">INDIRECT("'Data 6'!BD"&amp;IF('Plot Layout'!G10="",2,'Plot Layout'!G10+1))</f>
        <v>0</v>
      </c>
      <c r="BE7">
        <f ca="1">INDIRECT("'Data 6'!BE"&amp;IF('Plot Layout'!G10="",2,'Plot Layout'!G10+1))</f>
        <v>0</v>
      </c>
      <c r="BF7">
        <f ca="1">INDIRECT("'Data 6'!BF"&amp;IF('Plot Layout'!G10="",2,'Plot Layout'!G10+1))</f>
        <v>0</v>
      </c>
      <c r="BG7">
        <f ca="1">INDIRECT("'Data 6'!BG"&amp;IF('Plot Layout'!G10="",2,'Plot Layout'!G10+1))</f>
        <v>0</v>
      </c>
      <c r="BH7">
        <f ca="1">INDIRECT("'Data 6'!BH"&amp;IF('Plot Layout'!G10="",2,'Plot Layout'!G10+1))</f>
        <v>0</v>
      </c>
      <c r="BI7">
        <f ca="1">INDIRECT("'Data 6'!BI"&amp;IF('Plot Layout'!G10="",2,'Plot Layout'!G10+1))</f>
        <v>0</v>
      </c>
      <c r="BJ7">
        <f ca="1">INDIRECT("'Data 6'!BJ"&amp;IF('Plot Layout'!G10="",2,'Plot Layout'!G10+1))</f>
        <v>0</v>
      </c>
      <c r="BK7">
        <f ca="1">INDIRECT("'Data 6'!BK"&amp;IF('Plot Layout'!G10="",2,'Plot Layout'!G10+1))</f>
        <v>0</v>
      </c>
      <c r="BL7">
        <f ca="1">INDIRECT("'Data 6'!BL"&amp;IF('Plot Layout'!G10="",2,'Plot Layout'!G10+1))</f>
        <v>0</v>
      </c>
      <c r="BM7">
        <f ca="1">INDIRECT("'Data 6'!BM"&amp;IF('Plot Layout'!G10="",2,'Plot Layout'!G10+1))</f>
        <v>0</v>
      </c>
      <c r="BN7">
        <f ca="1">INDIRECT("'Data 6'!BN"&amp;IF('Plot Layout'!G10="",2,'Plot Layout'!G10+1))</f>
        <v>0</v>
      </c>
      <c r="BO7">
        <f ca="1">INDIRECT("'Data 6'!BO"&amp;IF('Plot Layout'!G10="",2,'Plot Layout'!G10+1))</f>
        <v>0</v>
      </c>
      <c r="BP7">
        <f ca="1">INDIRECT("'Data 6'!BP"&amp;IF('Plot Layout'!G10="",2,'Plot Layout'!G10+1))</f>
        <v>0</v>
      </c>
      <c r="BQ7">
        <f ca="1">INDIRECT("'Data 6'!BQ"&amp;IF('Plot Layout'!G10="",2,'Plot Layout'!G10+1))</f>
        <v>0</v>
      </c>
      <c r="BR7">
        <f ca="1">INDIRECT("'Data 6'!BR"&amp;IF('Plot Layout'!G10="",2,'Plot Layout'!G10+1))</f>
        <v>0</v>
      </c>
      <c r="BS7">
        <f ca="1">INDIRECT("'Data 6'!BS"&amp;IF('Plot Layout'!G10="",2,'Plot Layout'!G10+1))</f>
        <v>0</v>
      </c>
      <c r="BT7">
        <f ca="1">INDIRECT("'Data 6'!BT"&amp;IF('Plot Layout'!G10="",2,'Plot Layout'!G10+1))</f>
        <v>0</v>
      </c>
      <c r="BU7">
        <f ca="1">INDIRECT("'Data 6'!BU"&amp;IF('Plot Layout'!G10="",2,'Plot Layout'!G10+1))</f>
        <v>0</v>
      </c>
      <c r="BV7">
        <f ca="1">INDIRECT("'Data 6'!BV"&amp;IF('Plot Layout'!G10="",2,'Plot Layout'!G10+1))</f>
        <v>0</v>
      </c>
      <c r="BW7">
        <f ca="1">INDIRECT("'Data 6'!BW"&amp;IF('Plot Layout'!G10="",2,'Plot Layout'!G10+1))</f>
        <v>0</v>
      </c>
      <c r="BX7">
        <f ca="1">INDIRECT("'Data 6'!BX"&amp;IF('Plot Layout'!G10="",2,'Plot Layout'!G10+1))</f>
        <v>0</v>
      </c>
      <c r="BY7">
        <f ca="1">INDIRECT("'Data 6'!BY"&amp;IF('Plot Layout'!G10="",2,'Plot Layout'!G10+1))</f>
        <v>0</v>
      </c>
      <c r="BZ7">
        <f ca="1">INDIRECT("'Data 6'!BZ"&amp;IF('Plot Layout'!G10="",2,'Plot Layout'!G10+1))</f>
        <v>0</v>
      </c>
      <c r="CA7">
        <f ca="1">INDIRECT("'Data 6'!CA"&amp;IF('Plot Layout'!G10="",2,'Plot Layout'!G10+1))</f>
        <v>0</v>
      </c>
      <c r="CB7">
        <f ca="1">INDIRECT("'Data 6'!CB"&amp;IF('Plot Layout'!G10="",2,'Plot Layout'!G10+1))</f>
        <v>0</v>
      </c>
      <c r="CC7">
        <f ca="1">INDIRECT("'Data 6'!CC"&amp;IF('Plot Layout'!G10="",2,'Plot Layout'!G10+1))</f>
        <v>0</v>
      </c>
      <c r="CD7">
        <f ca="1">INDIRECT("'Data 6'!CD"&amp;IF('Plot Layout'!G10="",2,'Plot Layout'!G10+1))</f>
        <v>0</v>
      </c>
      <c r="CE7">
        <f ca="1">INDIRECT("'Data 6'!CE"&amp;IF('Plot Layout'!G10="",2,'Plot Layout'!G10+1))</f>
        <v>0</v>
      </c>
      <c r="CF7">
        <f ca="1">INDIRECT("'Data 6'!CF"&amp;IF('Plot Layout'!G10="",2,'Plot Layout'!G10+1))</f>
        <v>0</v>
      </c>
      <c r="CG7">
        <f ca="1">INDIRECT("'Data 6'!CG"&amp;IF('Plot Layout'!G10="",2,'Plot Layout'!G10+1))</f>
        <v>0</v>
      </c>
      <c r="CH7">
        <f ca="1">INDIRECT("'Data 6'!CH"&amp;IF('Plot Layout'!G10="",2,'Plot Layout'!G10+1))</f>
        <v>0</v>
      </c>
      <c r="CI7">
        <f ca="1">INDIRECT("'Data 6'!CI"&amp;IF('Plot Layout'!G10="",2,'Plot Layout'!G10+1))</f>
        <v>0</v>
      </c>
      <c r="CJ7">
        <f ca="1">INDIRECT("'Data 6'!CJ"&amp;IF('Plot Layout'!G10="",2,'Plot Layout'!G10+1))</f>
        <v>0</v>
      </c>
      <c r="CK7">
        <f ca="1">INDIRECT("'Data 6'!CK"&amp;IF('Plot Layout'!G10="",2,'Plot Layout'!G10+1))</f>
        <v>0</v>
      </c>
      <c r="CL7">
        <f ca="1">INDIRECT("'Data 6'!CL"&amp;IF('Plot Layout'!G10="",2,'Plot Layout'!G10+1))</f>
        <v>0</v>
      </c>
      <c r="CM7">
        <f ca="1">INDIRECT("'Data 6'!CM"&amp;IF('Plot Layout'!G10="",2,'Plot Layout'!G10+1))</f>
        <v>0</v>
      </c>
      <c r="CN7">
        <f ca="1">INDIRECT("'Data 6'!CN"&amp;IF('Plot Layout'!G10="",2,'Plot Layout'!G10+1))</f>
        <v>0</v>
      </c>
      <c r="CO7">
        <f ca="1">INDIRECT("'Data 6'!CO"&amp;IF('Plot Layout'!G10="",2,'Plot Layout'!G10+1))</f>
        <v>0</v>
      </c>
      <c r="CP7">
        <f ca="1">INDIRECT("'Data 6'!CP"&amp;IF('Plot Layout'!G10="",2,'Plot Layout'!G10+1))</f>
        <v>0</v>
      </c>
      <c r="CQ7">
        <f ca="1">INDIRECT("'Data 6'!CQ"&amp;IF('Plot Layout'!G10="",2,'Plot Layout'!G10+1))</f>
        <v>0</v>
      </c>
      <c r="CR7">
        <f ca="1">INDIRECT("'Data 6'!CR"&amp;IF('Plot Layout'!G10="",2,'Plot Layout'!G10+1))</f>
        <v>0</v>
      </c>
      <c r="CS7">
        <f ca="1">INDIRECT("'Data 6'!CS"&amp;IF('Plot Layout'!G10="",2,'Plot Layout'!G10+1))</f>
        <v>0</v>
      </c>
      <c r="CT7">
        <f ca="1">INDIRECT("'Data 6'!CT"&amp;IF('Plot Layout'!G10="",2,'Plot Layout'!G10+1))</f>
        <v>0</v>
      </c>
      <c r="CU7">
        <f ca="1">INDIRECT("'Data 6'!CU"&amp;IF('Plot Layout'!G10="",2,'Plot Layout'!G10+1))</f>
        <v>0</v>
      </c>
      <c r="CV7">
        <f ca="1">INDIRECT("'Data 6'!CV"&amp;IF('Plot Layout'!G10="",2,'Plot Layout'!G10+1))</f>
        <v>0</v>
      </c>
      <c r="CW7">
        <f ca="1">INDIRECT("'Data 6'!CW"&amp;IF('Plot Layout'!G10="",2,'Plot Layout'!G10+1))</f>
        <v>0</v>
      </c>
      <c r="CX7">
        <f ca="1">INDIRECT("'Data 6'!CX"&amp;IF('Plot Layout'!G10="",2,'Plot Layout'!G10+1))</f>
        <v>0</v>
      </c>
      <c r="CY7">
        <f ca="1">INDIRECT("'Data 6'!CY"&amp;IF('Plot Layout'!G10="",2,'Plot Layout'!G10+1))</f>
        <v>0</v>
      </c>
      <c r="CZ7">
        <f ca="1">INDIRECT("'Data 6'!CZ"&amp;IF('Plot Layout'!G10="",2,'Plot Layout'!G10+1))</f>
        <v>0</v>
      </c>
      <c r="DA7">
        <f ca="1">INDIRECT("'Data 6'!DA"&amp;IF('Plot Layout'!G10="",2,'Plot Layout'!G10+1))</f>
        <v>0</v>
      </c>
      <c r="DB7">
        <f ca="1">INDIRECT("'Data 6'!DB"&amp;IF('Plot Layout'!G10="",2,'Plot Layout'!G10+1))</f>
        <v>0</v>
      </c>
      <c r="DC7">
        <f ca="1">INDIRECT("'Data 6'!DC"&amp;IF('Plot Layout'!G10="",2,'Plot Layout'!G10+1))</f>
        <v>0</v>
      </c>
      <c r="DD7">
        <f ca="1">INDIRECT("'Data 6'!DD"&amp;IF('Plot Layout'!G10="",2,'Plot Layout'!G10+1))</f>
        <v>0</v>
      </c>
      <c r="DE7">
        <f ca="1">INDIRECT("'Data 6'!DE"&amp;IF('Plot Layout'!G10="",2,'Plot Layout'!G10+1))</f>
        <v>0</v>
      </c>
      <c r="DF7">
        <f ca="1">INDIRECT("'Data 6'!DF"&amp;IF('Plot Layout'!G10="",2,'Plot Layout'!G10+1))</f>
        <v>0</v>
      </c>
      <c r="DG7">
        <f ca="1">INDIRECT("'Data 6'!DG"&amp;IF('Plot Layout'!G10="",2,'Plot Layout'!G10+1))</f>
        <v>0</v>
      </c>
      <c r="DH7">
        <f ca="1">INDIRECT("'Data 6'!DH"&amp;IF('Plot Layout'!G10="",2,'Plot Layout'!G10+1))</f>
        <v>0</v>
      </c>
      <c r="DI7">
        <f ca="1">INDIRECT("'Data 6'!DI"&amp;IF('Plot Layout'!G10="",2,'Plot Layout'!G10+1))</f>
        <v>0</v>
      </c>
      <c r="DJ7">
        <f ca="1">INDIRECT("'Data 6'!DJ"&amp;IF('Plot Layout'!G10="",2,'Plot Layout'!G10+1))</f>
        <v>0</v>
      </c>
      <c r="DK7">
        <f ca="1">INDIRECT("'Data 6'!DK"&amp;IF('Plot Layout'!G10="",2,'Plot Layout'!G10+1))</f>
        <v>0</v>
      </c>
      <c r="DL7">
        <f ca="1">INDIRECT("'Data 6'!DL"&amp;IF('Plot Layout'!G10="",2,'Plot Layout'!G10+1))</f>
        <v>0</v>
      </c>
      <c r="DM7">
        <f ca="1">INDIRECT("'Data 6'!DM"&amp;IF('Plot Layout'!G10="",2,'Plot Layout'!G10+1))</f>
        <v>0</v>
      </c>
      <c r="DN7">
        <f ca="1">INDIRECT("'Data 6'!DN"&amp;IF('Plot Layout'!G10="",2,'Plot Layout'!G10+1))</f>
        <v>0</v>
      </c>
      <c r="DO7">
        <f ca="1">INDIRECT("'Data 6'!DO"&amp;IF('Plot Layout'!G10="",2,'Plot Layout'!G10+1))</f>
        <v>0</v>
      </c>
      <c r="DP7">
        <f ca="1">INDIRECT("'Data 6'!DP"&amp;IF('Plot Layout'!G10="",2,'Plot Layout'!G10+1))</f>
        <v>0</v>
      </c>
      <c r="DQ7">
        <f ca="1">INDIRECT("'Data 6'!DQ"&amp;IF('Plot Layout'!G10="",2,'Plot Layout'!G10+1))</f>
        <v>0</v>
      </c>
      <c r="DR7">
        <f ca="1">INDIRECT("'Data 6'!DR"&amp;IF('Plot Layout'!G10="",2,'Plot Layout'!G10+1))</f>
        <v>0</v>
      </c>
      <c r="DS7">
        <f ca="1">INDIRECT("'Data 6'!DS"&amp;IF('Plot Layout'!G10="",2,'Plot Layout'!G10+1))</f>
        <v>0</v>
      </c>
      <c r="DT7">
        <f ca="1">INDIRECT("'Data 6'!DT"&amp;IF('Plot Layout'!G10="",2,'Plot Layout'!G10+1))</f>
        <v>0</v>
      </c>
      <c r="DU7">
        <f ca="1">INDIRECT("'Data 6'!DU"&amp;IF('Plot Layout'!G10="",2,'Plot Layout'!G10+1))</f>
        <v>0</v>
      </c>
      <c r="DV7">
        <f ca="1">INDIRECT("'Data 6'!DV"&amp;IF('Plot Layout'!G10="",2,'Plot Layout'!G10+1))</f>
        <v>0</v>
      </c>
      <c r="DW7">
        <f ca="1">INDIRECT("'Data 6'!DW"&amp;IF('Plot Layout'!G10="",2,'Plot Layout'!G10+1))</f>
        <v>0</v>
      </c>
      <c r="DX7">
        <f ca="1">INDIRECT("'Data 6'!DX"&amp;IF('Plot Layout'!G10="",2,'Plot Layout'!G10+1))</f>
        <v>0</v>
      </c>
      <c r="DY7">
        <f ca="1">INDIRECT("'Data 6'!DY"&amp;IF('Plot Layout'!G10="",2,'Plot Layout'!G10+1))</f>
        <v>0</v>
      </c>
      <c r="DZ7">
        <f ca="1">INDIRECT("'Data 6'!DZ"&amp;IF('Plot Layout'!G10="",2,'Plot Layout'!G10+1))</f>
        <v>0</v>
      </c>
      <c r="EA7">
        <f ca="1">INDIRECT("'Data 6'!EA"&amp;IF('Plot Layout'!G10="",2,'Plot Layout'!G10+1))</f>
        <v>0</v>
      </c>
      <c r="EB7">
        <f ca="1">INDIRECT("'Data 6'!EB"&amp;IF('Plot Layout'!G10="",2,'Plot Layout'!G10+1))</f>
        <v>0</v>
      </c>
      <c r="EC7">
        <f ca="1">INDIRECT("'Data 6'!EC"&amp;IF('Plot Layout'!G10="",2,'Plot Layout'!G10+1))</f>
        <v>0</v>
      </c>
      <c r="ED7">
        <f ca="1">INDIRECT("'Data 6'!ED"&amp;IF('Plot Layout'!G10="",2,'Plot Layout'!G10+1))</f>
        <v>0</v>
      </c>
      <c r="EE7">
        <f ca="1">INDIRECT("'Data 6'!EE"&amp;IF('Plot Layout'!G10="",2,'Plot Layout'!G10+1))</f>
        <v>0</v>
      </c>
      <c r="EF7">
        <f ca="1">INDIRECT("'Data 6'!EF"&amp;IF('Plot Layout'!G10="",2,'Plot Layout'!G10+1))</f>
        <v>0</v>
      </c>
      <c r="EG7">
        <f ca="1">INDIRECT("'Data 6'!EG"&amp;IF('Plot Layout'!G10="",2,'Plot Layout'!G10+1))</f>
        <v>0</v>
      </c>
      <c r="EH7">
        <f ca="1">INDIRECT("'Data 6'!EH"&amp;IF('Plot Layout'!G10="",2,'Plot Layout'!G10+1))</f>
        <v>0</v>
      </c>
      <c r="EI7">
        <f ca="1">INDIRECT("'Data 6'!EI"&amp;IF('Plot Layout'!G10="",2,'Plot Layout'!G10+1))</f>
        <v>0</v>
      </c>
      <c r="EJ7">
        <f ca="1">INDIRECT("'Data 6'!EJ"&amp;IF('Plot Layout'!G10="",2,'Plot Layout'!G10+1))</f>
        <v>0</v>
      </c>
      <c r="EK7">
        <f ca="1">INDIRECT("'Data 6'!EK"&amp;IF('Plot Layout'!G10="",2,'Plot Layout'!G10+1))</f>
        <v>0</v>
      </c>
      <c r="EL7">
        <f ca="1">INDIRECT("'Data 6'!EL"&amp;IF('Plot Layout'!G10="",2,'Plot Layout'!G10+1))</f>
        <v>0</v>
      </c>
      <c r="EM7">
        <f ca="1">INDIRECT("'Data 6'!EM"&amp;IF('Plot Layout'!G10="",2,'Plot Layout'!G10+1))</f>
        <v>0</v>
      </c>
      <c r="EN7">
        <f ca="1">INDIRECT("'Data 6'!EN"&amp;IF('Plot Layout'!G10="",2,'Plot Layout'!G10+1))</f>
        <v>0</v>
      </c>
      <c r="EO7">
        <f ca="1">INDIRECT("'Data 6'!EO"&amp;IF('Plot Layout'!G10="",2,'Plot Layout'!G10+1))</f>
        <v>0</v>
      </c>
      <c r="EP7">
        <f ca="1">INDIRECT("'Data 6'!EP"&amp;IF('Plot Layout'!G10="",2,'Plot Layout'!G10+1))</f>
        <v>0</v>
      </c>
      <c r="EQ7">
        <f ca="1">INDIRECT("'Data 6'!EQ"&amp;IF('Plot Layout'!G10="",2,'Plot Layout'!G10+1))</f>
        <v>0</v>
      </c>
      <c r="ER7">
        <f ca="1">INDIRECT("'Data 6'!ER"&amp;IF('Plot Layout'!G10="",2,'Plot Layout'!G10+1))</f>
        <v>0</v>
      </c>
      <c r="ES7">
        <f ca="1">INDIRECT("'Data 6'!ES"&amp;IF('Plot Layout'!G10="",2,'Plot Layout'!G10+1))</f>
        <v>0</v>
      </c>
      <c r="ET7">
        <f ca="1">INDIRECT("'Data 6'!ET"&amp;IF('Plot Layout'!G10="",2,'Plot Layout'!G10+1))</f>
        <v>0</v>
      </c>
      <c r="EU7">
        <f ca="1">INDIRECT("'Data 6'!EU"&amp;IF('Plot Layout'!G10="",2,'Plot Layout'!G10+1))</f>
        <v>0</v>
      </c>
      <c r="EV7">
        <f ca="1">INDIRECT("'Data 6'!EV"&amp;IF('Plot Layout'!G10="",2,'Plot Layout'!G10+1))</f>
        <v>0</v>
      </c>
      <c r="EW7">
        <f ca="1">INDIRECT("'Data 6'!EW"&amp;IF('Plot Layout'!G10="",2,'Plot Layout'!G10+1))</f>
        <v>0</v>
      </c>
      <c r="EX7">
        <f ca="1">INDIRECT("'Data 6'!EX"&amp;IF('Plot Layout'!G10="",2,'Plot Layout'!G10+1))</f>
        <v>0</v>
      </c>
      <c r="EY7">
        <f ca="1">INDIRECT("'Data 6'!EY"&amp;IF('Plot Layout'!G10="",2,'Plot Layout'!G10+1))</f>
        <v>0</v>
      </c>
      <c r="EZ7">
        <f ca="1">INDIRECT("'Data 6'!EZ"&amp;IF('Plot Layout'!G10="",2,'Plot Layout'!G10+1))</f>
        <v>0</v>
      </c>
      <c r="FA7">
        <f ca="1">INDIRECT("'Data 6'!FA"&amp;IF('Plot Layout'!G10="",2,'Plot Layout'!G10+1))</f>
        <v>0</v>
      </c>
      <c r="FB7">
        <f ca="1">INDIRECT("'Data 6'!FB"&amp;IF('Plot Layout'!G10="",2,'Plot Layout'!G10+1))</f>
        <v>0</v>
      </c>
      <c r="FC7">
        <f ca="1">INDIRECT("'Data 6'!FC"&amp;IF('Plot Layout'!G10="",2,'Plot Layout'!G10+1))</f>
        <v>0</v>
      </c>
      <c r="FD7">
        <f ca="1">INDIRECT("'Data 6'!FD"&amp;IF('Plot Layout'!G10="",2,'Plot Layout'!G10+1))</f>
        <v>0</v>
      </c>
      <c r="FE7">
        <f ca="1">INDIRECT("'Data 6'!FE"&amp;IF('Plot Layout'!G10="",2,'Plot Layout'!G10+1))</f>
        <v>0</v>
      </c>
      <c r="FF7">
        <f ca="1">INDIRECT("'Data 6'!FF"&amp;IF('Plot Layout'!G10="",2,'Plot Layout'!G10+1))</f>
        <v>0</v>
      </c>
      <c r="FG7">
        <f ca="1">INDIRECT("'Data 6'!FG"&amp;IF('Plot Layout'!G10="",2,'Plot Layout'!G10+1))</f>
        <v>0</v>
      </c>
      <c r="FH7">
        <f ca="1">INDIRECT("'Data 6'!FH"&amp;IF('Plot Layout'!G10="",2,'Plot Layout'!G10+1))</f>
        <v>0</v>
      </c>
      <c r="FI7">
        <f ca="1">INDIRECT("'Data 6'!FI"&amp;IF('Plot Layout'!G10="",2,'Plot Layout'!G10+1))</f>
        <v>0</v>
      </c>
      <c r="FJ7">
        <f ca="1">INDIRECT("'Data 6'!FJ"&amp;IF('Plot Layout'!G10="",2,'Plot Layout'!G10+1))</f>
        <v>0</v>
      </c>
      <c r="FK7">
        <f ca="1">INDIRECT("'Data 6'!FK"&amp;IF('Plot Layout'!G10="",2,'Plot Layout'!G10+1))</f>
        <v>0</v>
      </c>
      <c r="FL7">
        <f ca="1">INDIRECT("'Data 6'!FL"&amp;IF('Plot Layout'!G10="",2,'Plot Layout'!G10+1))</f>
        <v>0</v>
      </c>
      <c r="FM7">
        <f ca="1">INDIRECT("'Data 6'!FM"&amp;IF('Plot Layout'!G10="",2,'Plot Layout'!G10+1))</f>
        <v>0</v>
      </c>
      <c r="FN7">
        <f ca="1">INDIRECT("'Data 6'!FN"&amp;IF('Plot Layout'!G10="",2,'Plot Layout'!G10+1))</f>
        <v>0</v>
      </c>
      <c r="FO7">
        <f ca="1">INDIRECT("'Data 6'!FO"&amp;IF('Plot Layout'!G10="",2,'Plot Layout'!G10+1))</f>
        <v>0</v>
      </c>
      <c r="FP7">
        <f ca="1">INDIRECT("'Data 6'!FP"&amp;IF('Plot Layout'!G10="",2,'Plot Layout'!G10+1))</f>
        <v>0</v>
      </c>
      <c r="FQ7">
        <f ca="1">INDIRECT("'Data 6'!FQ"&amp;IF('Plot Layout'!G10="",2,'Plot Layout'!G10+1))</f>
        <v>0</v>
      </c>
      <c r="FR7">
        <f ca="1">INDIRECT("'Data 6'!FR"&amp;IF('Plot Layout'!G10="",2,'Plot Layout'!G10+1))</f>
        <v>0</v>
      </c>
      <c r="FS7">
        <f ca="1">INDIRECT("'Data 6'!FS"&amp;IF('Plot Layout'!G10="",2,'Plot Layout'!G10+1))</f>
        <v>0</v>
      </c>
      <c r="FT7">
        <f ca="1">INDIRECT("'Data 6'!FT"&amp;IF('Plot Layout'!G10="",2,'Plot Layout'!G10+1))</f>
        <v>0</v>
      </c>
      <c r="FU7">
        <f ca="1">INDIRECT("'Data 6'!FU"&amp;IF('Plot Layout'!G10="",2,'Plot Layout'!G10+1))</f>
        <v>0</v>
      </c>
      <c r="FV7">
        <f ca="1">INDIRECT("'Data 6'!FV"&amp;IF('Plot Layout'!G10="",2,'Plot Layout'!G10+1))</f>
        <v>0</v>
      </c>
      <c r="FW7">
        <f ca="1">INDIRECT("'Data 6'!FW"&amp;IF('Plot Layout'!G10="",2,'Plot Layout'!G10+1))</f>
        <v>0</v>
      </c>
      <c r="FX7">
        <f ca="1">INDIRECT("'Data 6'!FX"&amp;IF('Plot Layout'!G10="",2,'Plot Layout'!G10+1))</f>
        <v>0</v>
      </c>
      <c r="FY7">
        <f ca="1">INDIRECT("'Data 6'!FY"&amp;IF('Plot Layout'!G10="",2,'Plot Layout'!G10+1))</f>
        <v>0</v>
      </c>
      <c r="FZ7">
        <f ca="1">INDIRECT("'Data 6'!FZ"&amp;IF('Plot Layout'!G10="",2,'Plot Layout'!G10+1))</f>
        <v>0</v>
      </c>
      <c r="GA7">
        <f ca="1">INDIRECT("'Data 6'!GA"&amp;IF('Plot Layout'!G10="",2,'Plot Layout'!G10+1))</f>
        <v>0</v>
      </c>
      <c r="GB7">
        <f ca="1">INDIRECT("'Data 6'!GB"&amp;IF('Plot Layout'!G10="",2,'Plot Layout'!G10+1))</f>
        <v>0</v>
      </c>
      <c r="GC7">
        <f ca="1">INDIRECT("'Data 6'!GC"&amp;IF('Plot Layout'!G10="",2,'Plot Layout'!G10+1))</f>
        <v>0</v>
      </c>
      <c r="GD7">
        <f ca="1">INDIRECT("'Data 6'!GD"&amp;IF('Plot Layout'!G10="",2,'Plot Layout'!G10+1))</f>
        <v>0</v>
      </c>
      <c r="GE7">
        <f ca="1">INDIRECT("'Data 6'!GE"&amp;IF('Plot Layout'!G10="",2,'Plot Layout'!G10+1))</f>
        <v>0</v>
      </c>
      <c r="GF7">
        <f ca="1">INDIRECT("'Data 6'!GF"&amp;IF('Plot Layout'!G10="",2,'Plot Layout'!G10+1))</f>
        <v>0</v>
      </c>
      <c r="GG7">
        <f ca="1">INDIRECT("'Data 6'!GG"&amp;IF('Plot Layout'!G10="",2,'Plot Layout'!G10+1))</f>
        <v>0</v>
      </c>
      <c r="GH7">
        <f ca="1">INDIRECT("'Data 6'!GH"&amp;IF('Plot Layout'!G10="",2,'Plot Layout'!G10+1))</f>
        <v>0</v>
      </c>
      <c r="GI7">
        <f ca="1">INDIRECT("'Data 6'!GI"&amp;IF('Plot Layout'!G10="",2,'Plot Layout'!G10+1))</f>
        <v>0</v>
      </c>
      <c r="GJ7">
        <f ca="1">INDIRECT("'Data 6'!GJ"&amp;IF('Plot Layout'!G10="",2,'Plot Layout'!G10+1))</f>
        <v>0</v>
      </c>
      <c r="GK7">
        <f ca="1">INDIRECT("'Data 6'!GK"&amp;IF('Plot Layout'!G10="",2,'Plot Layout'!G10+1))</f>
        <v>0</v>
      </c>
      <c r="GL7">
        <f ca="1">INDIRECT("'Data 6'!GL"&amp;IF('Plot Layout'!G10="",2,'Plot Layout'!G10+1))</f>
        <v>0</v>
      </c>
      <c r="GM7">
        <f ca="1">INDIRECT("'Data 6'!GM"&amp;IF('Plot Layout'!G10="",2,'Plot Layout'!G10+1))</f>
        <v>0</v>
      </c>
      <c r="GN7">
        <f ca="1">INDIRECT("'Data 6'!GN"&amp;IF('Plot Layout'!G10="",2,'Plot Layout'!G10+1))</f>
        <v>0</v>
      </c>
      <c r="GO7">
        <f ca="1">INDIRECT("'Data 6'!GO"&amp;IF('Plot Layout'!G10="",2,'Plot Layout'!G10+1))</f>
        <v>0</v>
      </c>
      <c r="GP7">
        <f ca="1">INDIRECT("'Data 6'!GP"&amp;IF('Plot Layout'!G10="",2,'Plot Layout'!G10+1))</f>
        <v>0</v>
      </c>
      <c r="GQ7">
        <f ca="1">INDIRECT("'Data 6'!GQ"&amp;IF('Plot Layout'!G10="",2,'Plot Layout'!G10+1))</f>
        <v>0</v>
      </c>
      <c r="GR7">
        <f ca="1">INDIRECT("'Data 6'!GR"&amp;IF('Plot Layout'!G10="",2,'Plot Layout'!G10+1))</f>
        <v>0</v>
      </c>
      <c r="GS7">
        <f ca="1">INDIRECT("'Data 6'!GS"&amp;IF('Plot Layout'!G10="",2,'Plot Layout'!G10+1))</f>
        <v>0</v>
      </c>
      <c r="GT7">
        <f ca="1">INDIRECT("'Data 6'!GT"&amp;IF('Plot Layout'!G10="",2,'Plot Layout'!G10+1))</f>
        <v>0</v>
      </c>
      <c r="GU7">
        <f ca="1">INDIRECT("'Data 6'!GU"&amp;IF('Plot Layout'!G10="",2,'Plot Layout'!G10+1))</f>
        <v>0</v>
      </c>
      <c r="GV7">
        <f ca="1">INDIRECT("'Data 6'!GV"&amp;IF('Plot Layout'!G10="",2,'Plot Layout'!G10+1))</f>
        <v>0</v>
      </c>
      <c r="GW7">
        <f ca="1">INDIRECT("'Data 6'!GW"&amp;IF('Plot Layout'!G10="",2,'Plot Layout'!G10+1))</f>
        <v>0</v>
      </c>
      <c r="GX7">
        <f ca="1">INDIRECT("'Data 6'!GX"&amp;IF('Plot Layout'!G10="",2,'Plot Layout'!G10+1))</f>
        <v>0</v>
      </c>
      <c r="GY7">
        <f ca="1">INDIRECT("'Data 6'!GY"&amp;IF('Plot Layout'!G10="",2,'Plot Layout'!G10+1))</f>
        <v>0</v>
      </c>
      <c r="GZ7">
        <f ca="1">INDIRECT("'Data 6'!GZ"&amp;IF('Plot Layout'!G10="",2,'Plot Layout'!G10+1))</f>
        <v>0</v>
      </c>
      <c r="HA7">
        <f ca="1">INDIRECT("'Data 6'!HA"&amp;IF('Plot Layout'!G10="",2,'Plot Layout'!G10+1))</f>
        <v>0</v>
      </c>
      <c r="HB7">
        <f ca="1">INDIRECT("'Data 6'!HB"&amp;IF('Plot Layout'!G10="",2,'Plot Layout'!G10+1))</f>
        <v>0</v>
      </c>
      <c r="HC7">
        <f ca="1">INDIRECT("'Data 6'!HC"&amp;IF('Plot Layout'!G10="",2,'Plot Layout'!G10+1))</f>
        <v>0</v>
      </c>
      <c r="HD7">
        <f ca="1">INDIRECT("'Data 6'!HD"&amp;IF('Plot Layout'!G10="",2,'Plot Layout'!G10+1))</f>
        <v>0</v>
      </c>
      <c r="HE7">
        <f ca="1">INDIRECT("'Data 6'!HE"&amp;IF('Plot Layout'!G10="",2,'Plot Layout'!G10+1))</f>
        <v>0</v>
      </c>
      <c r="HF7">
        <f ca="1">INDIRECT("'Data 6'!HF"&amp;IF('Plot Layout'!G10="",2,'Plot Layout'!G10+1))</f>
        <v>0</v>
      </c>
      <c r="HG7">
        <f ca="1">INDIRECT("'Data 6'!HG"&amp;IF('Plot Layout'!G10="",2,'Plot Layout'!G10+1))</f>
        <v>0</v>
      </c>
      <c r="HH7">
        <f ca="1">INDIRECT("'Data 6'!HH"&amp;IF('Plot Layout'!G10="",2,'Plot Layout'!G10+1))</f>
        <v>0</v>
      </c>
      <c r="HI7">
        <f ca="1">INDIRECT("'Data 6'!HI"&amp;IF('Plot Layout'!G10="",2,'Plot Layout'!G10+1))</f>
        <v>0</v>
      </c>
      <c r="HJ7">
        <f ca="1">INDIRECT("'Data 6'!HJ"&amp;IF('Plot Layout'!G10="",2,'Plot Layout'!G10+1))</f>
        <v>0</v>
      </c>
      <c r="HK7">
        <f ca="1">INDIRECT("'Data 6'!HK"&amp;IF('Plot Layout'!G10="",2,'Plot Layout'!G10+1))</f>
        <v>0</v>
      </c>
      <c r="HL7">
        <f ca="1">INDIRECT("'Data 6'!HL"&amp;IF('Plot Layout'!G10="",2,'Plot Layout'!G10+1))</f>
        <v>0</v>
      </c>
      <c r="HM7">
        <f ca="1">INDIRECT("'Data 6'!HM"&amp;IF('Plot Layout'!G10="",2,'Plot Layout'!G10+1))</f>
        <v>0</v>
      </c>
      <c r="HN7">
        <f ca="1">INDIRECT("'Data 6'!HN"&amp;IF('Plot Layout'!G10="",2,'Plot Layout'!G10+1))</f>
        <v>0</v>
      </c>
      <c r="HO7">
        <f ca="1">INDIRECT("'Data 6'!HO"&amp;IF('Plot Layout'!G10="",2,'Plot Layout'!G10+1))</f>
        <v>0</v>
      </c>
      <c r="HP7">
        <f ca="1">INDIRECT("'Data 6'!HP"&amp;IF('Plot Layout'!G10="",2,'Plot Layout'!G10+1))</f>
        <v>0</v>
      </c>
      <c r="HQ7">
        <f ca="1">INDIRECT("'Data 6'!HQ"&amp;IF('Plot Layout'!G10="",2,'Plot Layout'!G10+1))</f>
        <v>0</v>
      </c>
      <c r="HR7">
        <f ca="1">INDIRECT("'Data 6'!HR"&amp;IF('Plot Layout'!G10="",2,'Plot Layout'!G10+1))</f>
        <v>0</v>
      </c>
      <c r="HS7">
        <f ca="1">INDIRECT("'Data 6'!HS"&amp;IF('Plot Layout'!G10="",2,'Plot Layout'!G10+1))</f>
        <v>0</v>
      </c>
      <c r="HT7">
        <f ca="1">INDIRECT("'Data 6'!HT"&amp;IF('Plot Layout'!G10="",2,'Plot Layout'!G10+1))</f>
        <v>0</v>
      </c>
      <c r="HU7">
        <f ca="1">INDIRECT("'Data 6'!HU"&amp;IF('Plot Layout'!G10="",2,'Plot Layout'!G10+1))</f>
        <v>0</v>
      </c>
      <c r="HV7">
        <f ca="1">INDIRECT("'Data 6'!HV"&amp;IF('Plot Layout'!G10="",2,'Plot Layout'!G10+1))</f>
        <v>0</v>
      </c>
      <c r="HW7">
        <f ca="1">INDIRECT("'Data 6'!HW"&amp;IF('Plot Layout'!G10="",2,'Plot Layout'!G10+1))</f>
        <v>0</v>
      </c>
      <c r="HX7">
        <f ca="1">INDIRECT("'Data 6'!HX"&amp;IF('Plot Layout'!G10="",2,'Plot Layout'!G10+1))</f>
        <v>0</v>
      </c>
      <c r="HY7">
        <f ca="1">INDIRECT("'Data 6'!HY"&amp;IF('Plot Layout'!G10="",2,'Plot Layout'!G10+1))</f>
        <v>0</v>
      </c>
      <c r="HZ7">
        <f ca="1">INDIRECT("'Data 6'!HZ"&amp;IF('Plot Layout'!G10="",2,'Plot Layout'!G10+1))</f>
        <v>0</v>
      </c>
      <c r="IA7">
        <f ca="1">INDIRECT("'Data 6'!IA"&amp;IF('Plot Layout'!G10="",2,'Plot Layout'!G10+1))</f>
        <v>0</v>
      </c>
      <c r="IB7">
        <f ca="1">INDIRECT("'Data 6'!IB"&amp;IF('Plot Layout'!G10="",2,'Plot Layout'!G10+1))</f>
        <v>0</v>
      </c>
      <c r="IC7">
        <f ca="1">INDIRECT("'Data 6'!IC"&amp;IF('Plot Layout'!G10="",2,'Plot Layout'!G10+1))</f>
        <v>0</v>
      </c>
      <c r="ID7">
        <f ca="1">INDIRECT("'Data 6'!ID"&amp;IF('Plot Layout'!G10="",2,'Plot Layout'!G10+1))</f>
        <v>0</v>
      </c>
      <c r="IE7">
        <f ca="1">INDIRECT("'Data 6'!IE"&amp;IF('Plot Layout'!G10="",2,'Plot Layout'!G10+1))</f>
        <v>0</v>
      </c>
      <c r="IF7">
        <f ca="1">INDIRECT("'Data 6'!IF"&amp;IF('Plot Layout'!G10="",2,'Plot Layout'!G10+1))</f>
        <v>0</v>
      </c>
      <c r="IG7">
        <f ca="1">INDIRECT("'Data 6'!IG"&amp;IF('Plot Layout'!G10="",2,'Plot Layout'!G10+1))</f>
        <v>0</v>
      </c>
      <c r="IH7">
        <f ca="1">INDIRECT("'Data 6'!IH"&amp;IF('Plot Layout'!G10="",2,'Plot Layout'!G10+1))</f>
        <v>0</v>
      </c>
      <c r="II7">
        <f ca="1">INDIRECT("'Data 6'!II"&amp;IF('Plot Layout'!G10="",2,'Plot Layout'!G10+1))</f>
        <v>0</v>
      </c>
      <c r="IJ7">
        <f ca="1">INDIRECT("'Data 6'!IJ"&amp;IF('Plot Layout'!G10="",2,'Plot Layout'!G10+1))</f>
        <v>0</v>
      </c>
      <c r="IK7">
        <f ca="1">INDIRECT("'Data 6'!IK"&amp;IF('Plot Layout'!G10="",2,'Plot Layout'!G10+1))</f>
        <v>0</v>
      </c>
      <c r="IL7">
        <f ca="1">INDIRECT("'Data 6'!IL"&amp;IF('Plot Layout'!G10="",2,'Plot Layout'!G10+1))</f>
        <v>0</v>
      </c>
      <c r="IM7">
        <f ca="1">INDIRECT("'Data 6'!IM"&amp;IF('Plot Layout'!G10="",2,'Plot Layout'!G10+1))</f>
        <v>0</v>
      </c>
      <c r="IN7">
        <f ca="1">INDIRECT("'Data 6'!IN"&amp;IF('Plot Layout'!G10="",2,'Plot Layout'!G10+1))</f>
        <v>0</v>
      </c>
      <c r="IO7">
        <f ca="1">INDIRECT("'Data 6'!IO"&amp;IF('Plot Layout'!G10="",2,'Plot Layout'!G10+1))</f>
        <v>0</v>
      </c>
      <c r="IP7">
        <f ca="1">INDIRECT("'Data 6'!IP"&amp;IF('Plot Layout'!G10="",2,'Plot Layout'!G10+1))</f>
        <v>0</v>
      </c>
      <c r="IQ7">
        <f ca="1">INDIRECT("'Data 6'!IQ"&amp;IF('Plot Layout'!G10="",2,'Plot Layout'!G10+1))</f>
        <v>0</v>
      </c>
      <c r="IR7">
        <f ca="1">INDIRECT("'Data 6'!IR"&amp;IF('Plot Layout'!G10="",2,'Plot Layout'!G10+1))</f>
        <v>0</v>
      </c>
      <c r="IS7">
        <f ca="1">INDIRECT("'Data 6'!IS"&amp;IF('Plot Layout'!G10="",2,'Plot Layout'!G10+1))</f>
        <v>0</v>
      </c>
      <c r="IT7">
        <f ca="1">INDIRECT("'Data 6'!IT"&amp;IF('Plot Layout'!G10="",2,'Plot Layout'!G10+1))</f>
        <v>0</v>
      </c>
      <c r="IU7">
        <f ca="1">INDIRECT("'Data 6'!IU"&amp;IF('Plot Layout'!G10="",2,'Plot Layout'!G10+1))</f>
        <v>0</v>
      </c>
      <c r="IV7">
        <f ca="1">INDIRECT("'Data 6'!IV"&amp;IF('Plot Layout'!G10="",2,'Plot Layout'!G10+1))</f>
        <v>0</v>
      </c>
    </row>
    <row r="8" spans="1:256">
      <c r="A8">
        <f ca="1">INDIRECT("'Data 7'!A"&amp;IF('Plot Layout'!H10="",2,'Plot Layout'!H10+1))</f>
        <v>60</v>
      </c>
      <c r="B8">
        <f ca="1">INDIRECT("'Data 7'!B"&amp;IF('Plot Layout'!H10="",2,'Plot Layout'!H10+1))</f>
        <v>1</v>
      </c>
      <c r="C8" t="str">
        <f ca="1">INDIRECT("'Data 7'!C"&amp;IF('Plot Layout'!H10="",2,'Plot Layout'!H10+1))</f>
        <v>65-(12)08</v>
      </c>
      <c r="D8">
        <f ca="1">INDIRECT("'Data 7'!D"&amp;IF('Plot Layout'!H10="",2,'Plot Layout'!H10+1))</f>
        <v>4.3E-3</v>
      </c>
      <c r="E8">
        <f ca="1">INDIRECT("'Data 7'!E"&amp;IF('Plot Layout'!H10="",2,'Plot Layout'!H10+1))</f>
        <v>1.5E-3</v>
      </c>
      <c r="F8">
        <f ca="1">INDIRECT("'Data 7'!F"&amp;IF('Plot Layout'!H10="",2,'Plot Layout'!H10+1))</f>
        <v>0.08</v>
      </c>
      <c r="G8">
        <f ca="1">INDIRECT("'Data 7'!G"&amp;IF('Plot Layout'!H10="",2,'Plot Layout'!H10+1))</f>
        <v>12</v>
      </c>
      <c r="H8">
        <f ca="1">INDIRECT("'Data 7'!H"&amp;IF('Plot Layout'!H10="",2,'Plot Layout'!H10+1))</f>
        <v>0</v>
      </c>
      <c r="I8">
        <f ca="1">INDIRECT("'Data 7'!I"&amp;IF('Plot Layout'!H10="",2,'Plot Layout'!H10+1))</f>
        <v>13.8</v>
      </c>
      <c r="J8">
        <f ca="1">INDIRECT("'Data 7'!J"&amp;IF('Plot Layout'!H10="",2,'Plot Layout'!H10+1))</f>
        <v>28.4</v>
      </c>
      <c r="K8">
        <f ca="1">INDIRECT("'Data 7'!K"&amp;IF('Plot Layout'!H10="",2,'Plot Layout'!H10+1))</f>
        <v>17.899999999999999</v>
      </c>
      <c r="L8">
        <f ca="1">INDIRECT("'Data 7'!L"&amp;IF('Plot Layout'!H10="",2,'Plot Layout'!H10+1))</f>
        <v>12.8</v>
      </c>
      <c r="M8">
        <f ca="1">INDIRECT("'Data 7'!M"&amp;IF('Plot Layout'!H10="",2,'Plot Layout'!H10+1))</f>
        <v>0.51900000000000002</v>
      </c>
      <c r="N8">
        <f ca="1">INDIRECT("'Data 7'!N"&amp;IF('Plot Layout'!H10="",2,'Plot Layout'!H10+1))</f>
        <v>1.171</v>
      </c>
      <c r="O8">
        <f ca="1">INDIRECT("'Data 7'!O"&amp;IF('Plot Layout'!H10="",2,'Plot Layout'!H10+1))</f>
        <v>6.5</v>
      </c>
      <c r="P8">
        <f ca="1">INDIRECT("'Data 7'!P"&amp;IF('Plot Layout'!H10="",2,'Plot Layout'!H10+1))</f>
        <v>12</v>
      </c>
      <c r="Q8">
        <f ca="1">INDIRECT("'Data 7'!Q"&amp;IF('Plot Layout'!H10="",2,'Plot Layout'!H10+1))</f>
        <v>1.35E-2</v>
      </c>
      <c r="R8">
        <f ca="1">INDIRECT("'Data 7'!R"&amp;IF('Plot Layout'!H10="",2,'Plot Layout'!H10+1))</f>
        <v>0</v>
      </c>
      <c r="S8">
        <f ca="1">INDIRECT("'Data 7'!S"&amp;IF('Plot Layout'!H10="",2,'Plot Layout'!H10+1))</f>
        <v>0</v>
      </c>
      <c r="T8">
        <f ca="1">INDIRECT("'Data 7'!T"&amp;IF('Plot Layout'!H10="",2,'Plot Layout'!H10+1))</f>
        <v>0</v>
      </c>
      <c r="U8">
        <f ca="1">INDIRECT("'Data 7'!U"&amp;IF('Plot Layout'!H10="",2,'Plot Layout'!H10+1))</f>
        <v>0</v>
      </c>
      <c r="V8">
        <f ca="1">INDIRECT("'Data 7'!V"&amp;IF('Plot Layout'!H10="",2,'Plot Layout'!H10+1))</f>
        <v>0</v>
      </c>
      <c r="W8">
        <f ca="1">INDIRECT("'Data 7'!W"&amp;IF('Plot Layout'!H10="",2,'Plot Layout'!H10+1))</f>
        <v>0</v>
      </c>
      <c r="X8">
        <f ca="1">INDIRECT("'Data 7'!X"&amp;IF('Plot Layout'!H10="",2,'Plot Layout'!H10+1))</f>
        <v>0</v>
      </c>
      <c r="Y8">
        <f ca="1">INDIRECT("'Data 7'!Y"&amp;IF('Plot Layout'!H10="",2,'Plot Layout'!H10+1))</f>
        <v>0</v>
      </c>
      <c r="Z8">
        <f ca="1">INDIRECT("'Data 7'!Z"&amp;IF('Plot Layout'!H10="",2,'Plot Layout'!H10+1))</f>
        <v>0</v>
      </c>
      <c r="AA8">
        <f ca="1">INDIRECT("'Data 7'!AA"&amp;IF('Plot Layout'!H10="",2,'Plot Layout'!H10+1))</f>
        <v>0</v>
      </c>
      <c r="AB8">
        <f ca="1">INDIRECT("'Data 7'!AB"&amp;IF('Plot Layout'!H10="",2,'Plot Layout'!H10+1))</f>
        <v>0</v>
      </c>
      <c r="AC8">
        <f ca="1">INDIRECT("'Data 7'!AC"&amp;IF('Plot Layout'!H10="",2,'Plot Layout'!H10+1))</f>
        <v>0</v>
      </c>
      <c r="AD8">
        <f ca="1">INDIRECT("'Data 7'!AD"&amp;IF('Plot Layout'!H10="",2,'Plot Layout'!H10+1))</f>
        <v>0</v>
      </c>
      <c r="AE8">
        <f ca="1">INDIRECT("'Data 7'!AE"&amp;IF('Plot Layout'!H10="",2,'Plot Layout'!H10+1))</f>
        <v>0</v>
      </c>
      <c r="AF8">
        <f ca="1">INDIRECT("'Data 7'!AF"&amp;IF('Plot Layout'!H10="",2,'Plot Layout'!H10+1))</f>
        <v>0</v>
      </c>
      <c r="AG8">
        <f ca="1">INDIRECT("'Data 7'!AG"&amp;IF('Plot Layout'!H10="",2,'Plot Layout'!H10+1))</f>
        <v>0</v>
      </c>
      <c r="AH8">
        <f ca="1">INDIRECT("'Data 7'!AH"&amp;IF('Plot Layout'!H10="",2,'Plot Layout'!H10+1))</f>
        <v>0</v>
      </c>
      <c r="AI8">
        <f ca="1">INDIRECT("'Data 7'!AI"&amp;IF('Plot Layout'!H10="",2,'Plot Layout'!H10+1))</f>
        <v>0</v>
      </c>
      <c r="AJ8">
        <f ca="1">INDIRECT("'Data 7'!AJ"&amp;IF('Plot Layout'!H10="",2,'Plot Layout'!H10+1))</f>
        <v>0</v>
      </c>
      <c r="AK8">
        <f ca="1">INDIRECT("'Data 7'!AK"&amp;IF('Plot Layout'!H10="",2,'Plot Layout'!H10+1))</f>
        <v>0</v>
      </c>
      <c r="AL8">
        <f ca="1">INDIRECT("'Data 7'!AL"&amp;IF('Plot Layout'!H10="",2,'Plot Layout'!H10+1))</f>
        <v>0</v>
      </c>
      <c r="AM8">
        <f ca="1">INDIRECT("'Data 7'!AM"&amp;IF('Plot Layout'!H10="",2,'Plot Layout'!H10+1))</f>
        <v>0</v>
      </c>
      <c r="AN8">
        <f ca="1">INDIRECT("'Data 7'!AN"&amp;IF('Plot Layout'!H10="",2,'Plot Layout'!H10+1))</f>
        <v>0</v>
      </c>
      <c r="AO8">
        <f ca="1">INDIRECT("'Data 7'!AO"&amp;IF('Plot Layout'!H10="",2,'Plot Layout'!H10+1))</f>
        <v>0</v>
      </c>
      <c r="AP8">
        <f ca="1">INDIRECT("'Data 7'!AP"&amp;IF('Plot Layout'!H10="",2,'Plot Layout'!H10+1))</f>
        <v>0</v>
      </c>
      <c r="AQ8">
        <f ca="1">INDIRECT("'Data 7'!AQ"&amp;IF('Plot Layout'!H10="",2,'Plot Layout'!H10+1))</f>
        <v>0</v>
      </c>
      <c r="AR8">
        <f ca="1">INDIRECT("'Data 7'!AR"&amp;IF('Plot Layout'!H10="",2,'Plot Layout'!H10+1))</f>
        <v>0</v>
      </c>
      <c r="AS8">
        <f ca="1">INDIRECT("'Data 7'!AS"&amp;IF('Plot Layout'!H10="",2,'Plot Layout'!H10+1))</f>
        <v>0</v>
      </c>
      <c r="AT8">
        <f ca="1">INDIRECT("'Data 7'!AT"&amp;IF('Plot Layout'!H10="",2,'Plot Layout'!H10+1))</f>
        <v>0</v>
      </c>
      <c r="AU8">
        <f ca="1">INDIRECT("'Data 7'!AU"&amp;IF('Plot Layout'!H10="",2,'Plot Layout'!H10+1))</f>
        <v>0</v>
      </c>
      <c r="AV8">
        <f ca="1">INDIRECT("'Data 7'!AV"&amp;IF('Plot Layout'!H10="",2,'Plot Layout'!H10+1))</f>
        <v>0</v>
      </c>
      <c r="AW8">
        <f ca="1">INDIRECT("'Data 7'!AW"&amp;IF('Plot Layout'!H10="",2,'Plot Layout'!H10+1))</f>
        <v>0</v>
      </c>
      <c r="AX8">
        <f ca="1">INDIRECT("'Data 7'!AX"&amp;IF('Plot Layout'!H10="",2,'Plot Layout'!H10+1))</f>
        <v>0</v>
      </c>
      <c r="AY8">
        <f ca="1">INDIRECT("'Data 7'!AY"&amp;IF('Plot Layout'!H10="",2,'Plot Layout'!H10+1))</f>
        <v>0</v>
      </c>
      <c r="AZ8">
        <f ca="1">INDIRECT("'Data 7'!AZ"&amp;IF('Plot Layout'!H10="",2,'Plot Layout'!H10+1))</f>
        <v>0</v>
      </c>
      <c r="BA8">
        <f ca="1">INDIRECT("'Data 7'!BA"&amp;IF('Plot Layout'!H10="",2,'Plot Layout'!H10+1))</f>
        <v>0</v>
      </c>
      <c r="BB8">
        <f ca="1">INDIRECT("'Data 7'!BB"&amp;IF('Plot Layout'!H10="",2,'Plot Layout'!H10+1))</f>
        <v>0</v>
      </c>
      <c r="BC8">
        <f ca="1">INDIRECT("'Data 7'!BC"&amp;IF('Plot Layout'!H10="",2,'Plot Layout'!H10+1))</f>
        <v>0</v>
      </c>
      <c r="BD8">
        <f ca="1">INDIRECT("'Data 7'!BD"&amp;IF('Plot Layout'!H10="",2,'Plot Layout'!H10+1))</f>
        <v>0</v>
      </c>
      <c r="BE8">
        <f ca="1">INDIRECT("'Data 7'!BE"&amp;IF('Plot Layout'!H10="",2,'Plot Layout'!H10+1))</f>
        <v>0</v>
      </c>
      <c r="BF8">
        <f ca="1">INDIRECT("'Data 7'!BF"&amp;IF('Plot Layout'!H10="",2,'Plot Layout'!H10+1))</f>
        <v>0</v>
      </c>
      <c r="BG8">
        <f ca="1">INDIRECT("'Data 7'!BG"&amp;IF('Plot Layout'!H10="",2,'Plot Layout'!H10+1))</f>
        <v>0</v>
      </c>
      <c r="BH8">
        <f ca="1">INDIRECT("'Data 7'!BH"&amp;IF('Plot Layout'!H10="",2,'Plot Layout'!H10+1))</f>
        <v>0</v>
      </c>
      <c r="BI8">
        <f ca="1">INDIRECT("'Data 7'!BI"&amp;IF('Plot Layout'!H10="",2,'Plot Layout'!H10+1))</f>
        <v>0</v>
      </c>
      <c r="BJ8">
        <f ca="1">INDIRECT("'Data 7'!BJ"&amp;IF('Plot Layout'!H10="",2,'Plot Layout'!H10+1))</f>
        <v>0</v>
      </c>
      <c r="BK8">
        <f ca="1">INDIRECT("'Data 7'!BK"&amp;IF('Plot Layout'!H10="",2,'Plot Layout'!H10+1))</f>
        <v>0</v>
      </c>
      <c r="BL8">
        <f ca="1">INDIRECT("'Data 7'!BL"&amp;IF('Plot Layout'!H10="",2,'Plot Layout'!H10+1))</f>
        <v>0</v>
      </c>
      <c r="BM8">
        <f ca="1">INDIRECT("'Data 7'!BM"&amp;IF('Plot Layout'!H10="",2,'Plot Layout'!H10+1))</f>
        <v>0</v>
      </c>
      <c r="BN8">
        <f ca="1">INDIRECT("'Data 7'!BN"&amp;IF('Plot Layout'!H10="",2,'Plot Layout'!H10+1))</f>
        <v>0</v>
      </c>
      <c r="BO8">
        <f ca="1">INDIRECT("'Data 7'!BO"&amp;IF('Plot Layout'!H10="",2,'Plot Layout'!H10+1))</f>
        <v>0</v>
      </c>
      <c r="BP8">
        <f ca="1">INDIRECT("'Data 7'!BP"&amp;IF('Plot Layout'!H10="",2,'Plot Layout'!H10+1))</f>
        <v>0</v>
      </c>
      <c r="BQ8">
        <f ca="1">INDIRECT("'Data 7'!BQ"&amp;IF('Plot Layout'!H10="",2,'Plot Layout'!H10+1))</f>
        <v>0</v>
      </c>
      <c r="BR8">
        <f ca="1">INDIRECT("'Data 7'!BR"&amp;IF('Plot Layout'!H10="",2,'Plot Layout'!H10+1))</f>
        <v>0</v>
      </c>
      <c r="BS8">
        <f ca="1">INDIRECT("'Data 7'!BS"&amp;IF('Plot Layout'!H10="",2,'Plot Layout'!H10+1))</f>
        <v>0</v>
      </c>
      <c r="BT8">
        <f ca="1">INDIRECT("'Data 7'!BT"&amp;IF('Plot Layout'!H10="",2,'Plot Layout'!H10+1))</f>
        <v>0</v>
      </c>
      <c r="BU8">
        <f ca="1">INDIRECT("'Data 7'!BU"&amp;IF('Plot Layout'!H10="",2,'Plot Layout'!H10+1))</f>
        <v>0</v>
      </c>
      <c r="BV8">
        <f ca="1">INDIRECT("'Data 7'!BV"&amp;IF('Plot Layout'!H10="",2,'Plot Layout'!H10+1))</f>
        <v>0</v>
      </c>
      <c r="BW8">
        <f ca="1">INDIRECT("'Data 7'!BW"&amp;IF('Plot Layout'!H10="",2,'Plot Layout'!H10+1))</f>
        <v>0</v>
      </c>
      <c r="BX8">
        <f ca="1">INDIRECT("'Data 7'!BX"&amp;IF('Plot Layout'!H10="",2,'Plot Layout'!H10+1))</f>
        <v>0</v>
      </c>
      <c r="BY8">
        <f ca="1">INDIRECT("'Data 7'!BY"&amp;IF('Plot Layout'!H10="",2,'Plot Layout'!H10+1))</f>
        <v>0</v>
      </c>
      <c r="BZ8">
        <f ca="1">INDIRECT("'Data 7'!BZ"&amp;IF('Plot Layout'!H10="",2,'Plot Layout'!H10+1))</f>
        <v>0</v>
      </c>
      <c r="CA8">
        <f ca="1">INDIRECT("'Data 7'!CA"&amp;IF('Plot Layout'!H10="",2,'Plot Layout'!H10+1))</f>
        <v>0</v>
      </c>
      <c r="CB8">
        <f ca="1">INDIRECT("'Data 7'!CB"&amp;IF('Plot Layout'!H10="",2,'Plot Layout'!H10+1))</f>
        <v>0</v>
      </c>
      <c r="CC8">
        <f ca="1">INDIRECT("'Data 7'!CC"&amp;IF('Plot Layout'!H10="",2,'Plot Layout'!H10+1))</f>
        <v>0</v>
      </c>
      <c r="CD8">
        <f ca="1">INDIRECT("'Data 7'!CD"&amp;IF('Plot Layout'!H10="",2,'Plot Layout'!H10+1))</f>
        <v>0</v>
      </c>
      <c r="CE8">
        <f ca="1">INDIRECT("'Data 7'!CE"&amp;IF('Plot Layout'!H10="",2,'Plot Layout'!H10+1))</f>
        <v>0</v>
      </c>
      <c r="CF8">
        <f ca="1">INDIRECT("'Data 7'!CF"&amp;IF('Plot Layout'!H10="",2,'Plot Layout'!H10+1))</f>
        <v>0</v>
      </c>
      <c r="CG8">
        <f ca="1">INDIRECT("'Data 7'!CG"&amp;IF('Plot Layout'!H10="",2,'Plot Layout'!H10+1))</f>
        <v>0</v>
      </c>
      <c r="CH8">
        <f ca="1">INDIRECT("'Data 7'!CH"&amp;IF('Plot Layout'!H10="",2,'Plot Layout'!H10+1))</f>
        <v>0</v>
      </c>
      <c r="CI8">
        <f ca="1">INDIRECT("'Data 7'!CI"&amp;IF('Plot Layout'!H10="",2,'Plot Layout'!H10+1))</f>
        <v>0</v>
      </c>
      <c r="CJ8">
        <f ca="1">INDIRECT("'Data 7'!CJ"&amp;IF('Plot Layout'!H10="",2,'Plot Layout'!H10+1))</f>
        <v>0</v>
      </c>
      <c r="CK8">
        <f ca="1">INDIRECT("'Data 7'!CK"&amp;IF('Plot Layout'!H10="",2,'Plot Layout'!H10+1))</f>
        <v>0</v>
      </c>
      <c r="CL8">
        <f ca="1">INDIRECT("'Data 7'!CL"&amp;IF('Plot Layout'!H10="",2,'Plot Layout'!H10+1))</f>
        <v>0</v>
      </c>
      <c r="CM8">
        <f ca="1">INDIRECT("'Data 7'!CM"&amp;IF('Plot Layout'!H10="",2,'Plot Layout'!H10+1))</f>
        <v>0</v>
      </c>
      <c r="CN8">
        <f ca="1">INDIRECT("'Data 7'!CN"&amp;IF('Plot Layout'!H10="",2,'Plot Layout'!H10+1))</f>
        <v>0</v>
      </c>
      <c r="CO8">
        <f ca="1">INDIRECT("'Data 7'!CO"&amp;IF('Plot Layout'!H10="",2,'Plot Layout'!H10+1))</f>
        <v>0</v>
      </c>
      <c r="CP8">
        <f ca="1">INDIRECT("'Data 7'!CP"&amp;IF('Plot Layout'!H10="",2,'Plot Layout'!H10+1))</f>
        <v>0</v>
      </c>
      <c r="CQ8">
        <f ca="1">INDIRECT("'Data 7'!CQ"&amp;IF('Plot Layout'!H10="",2,'Plot Layout'!H10+1))</f>
        <v>0</v>
      </c>
      <c r="CR8">
        <f ca="1">INDIRECT("'Data 7'!CR"&amp;IF('Plot Layout'!H10="",2,'Plot Layout'!H10+1))</f>
        <v>0</v>
      </c>
      <c r="CS8">
        <f ca="1">INDIRECT("'Data 7'!CS"&amp;IF('Plot Layout'!H10="",2,'Plot Layout'!H10+1))</f>
        <v>0</v>
      </c>
      <c r="CT8">
        <f ca="1">INDIRECT("'Data 7'!CT"&amp;IF('Plot Layout'!H10="",2,'Plot Layout'!H10+1))</f>
        <v>0</v>
      </c>
      <c r="CU8">
        <f ca="1">INDIRECT("'Data 7'!CU"&amp;IF('Plot Layout'!H10="",2,'Plot Layout'!H10+1))</f>
        <v>0</v>
      </c>
      <c r="CV8">
        <f ca="1">INDIRECT("'Data 7'!CV"&amp;IF('Plot Layout'!H10="",2,'Plot Layout'!H10+1))</f>
        <v>0</v>
      </c>
      <c r="CW8">
        <f ca="1">INDIRECT("'Data 7'!CW"&amp;IF('Plot Layout'!H10="",2,'Plot Layout'!H10+1))</f>
        <v>0</v>
      </c>
      <c r="CX8">
        <f ca="1">INDIRECT("'Data 7'!CX"&amp;IF('Plot Layout'!H10="",2,'Plot Layout'!H10+1))</f>
        <v>0</v>
      </c>
      <c r="CY8">
        <f ca="1">INDIRECT("'Data 7'!CY"&amp;IF('Plot Layout'!H10="",2,'Plot Layout'!H10+1))</f>
        <v>0</v>
      </c>
      <c r="CZ8">
        <f ca="1">INDIRECT("'Data 7'!CZ"&amp;IF('Plot Layout'!H10="",2,'Plot Layout'!H10+1))</f>
        <v>0</v>
      </c>
      <c r="DA8">
        <f ca="1">INDIRECT("'Data 7'!DA"&amp;IF('Plot Layout'!H10="",2,'Plot Layout'!H10+1))</f>
        <v>0</v>
      </c>
      <c r="DB8">
        <f ca="1">INDIRECT("'Data 7'!DB"&amp;IF('Plot Layout'!H10="",2,'Plot Layout'!H10+1))</f>
        <v>0</v>
      </c>
      <c r="DC8">
        <f ca="1">INDIRECT("'Data 7'!DC"&amp;IF('Plot Layout'!H10="",2,'Plot Layout'!H10+1))</f>
        <v>0</v>
      </c>
      <c r="DD8">
        <f ca="1">INDIRECT("'Data 7'!DD"&amp;IF('Plot Layout'!H10="",2,'Plot Layout'!H10+1))</f>
        <v>0</v>
      </c>
      <c r="DE8">
        <f ca="1">INDIRECT("'Data 7'!DE"&amp;IF('Plot Layout'!H10="",2,'Plot Layout'!H10+1))</f>
        <v>0</v>
      </c>
      <c r="DF8">
        <f ca="1">INDIRECT("'Data 7'!DF"&amp;IF('Plot Layout'!H10="",2,'Plot Layout'!H10+1))</f>
        <v>0</v>
      </c>
      <c r="DG8">
        <f ca="1">INDIRECT("'Data 7'!DG"&amp;IF('Plot Layout'!H10="",2,'Plot Layout'!H10+1))</f>
        <v>0</v>
      </c>
      <c r="DH8">
        <f ca="1">INDIRECT("'Data 7'!DH"&amp;IF('Plot Layout'!H10="",2,'Plot Layout'!H10+1))</f>
        <v>0</v>
      </c>
      <c r="DI8">
        <f ca="1">INDIRECT("'Data 7'!DI"&amp;IF('Plot Layout'!H10="",2,'Plot Layout'!H10+1))</f>
        <v>0</v>
      </c>
      <c r="DJ8">
        <f ca="1">INDIRECT("'Data 7'!DJ"&amp;IF('Plot Layout'!H10="",2,'Plot Layout'!H10+1))</f>
        <v>0</v>
      </c>
      <c r="DK8">
        <f ca="1">INDIRECT("'Data 7'!DK"&amp;IF('Plot Layout'!H10="",2,'Plot Layout'!H10+1))</f>
        <v>0</v>
      </c>
      <c r="DL8">
        <f ca="1">INDIRECT("'Data 7'!DL"&amp;IF('Plot Layout'!H10="",2,'Plot Layout'!H10+1))</f>
        <v>0</v>
      </c>
      <c r="DM8">
        <f ca="1">INDIRECT("'Data 7'!DM"&amp;IF('Plot Layout'!H10="",2,'Plot Layout'!H10+1))</f>
        <v>0</v>
      </c>
      <c r="DN8">
        <f ca="1">INDIRECT("'Data 7'!DN"&amp;IF('Plot Layout'!H10="",2,'Plot Layout'!H10+1))</f>
        <v>0</v>
      </c>
      <c r="DO8">
        <f ca="1">INDIRECT("'Data 7'!DO"&amp;IF('Plot Layout'!H10="",2,'Plot Layout'!H10+1))</f>
        <v>0</v>
      </c>
      <c r="DP8">
        <f ca="1">INDIRECT("'Data 7'!DP"&amp;IF('Plot Layout'!H10="",2,'Plot Layout'!H10+1))</f>
        <v>0</v>
      </c>
      <c r="DQ8">
        <f ca="1">INDIRECT("'Data 7'!DQ"&amp;IF('Plot Layout'!H10="",2,'Plot Layout'!H10+1))</f>
        <v>0</v>
      </c>
      <c r="DR8">
        <f ca="1">INDIRECT("'Data 7'!DR"&amp;IF('Plot Layout'!H10="",2,'Plot Layout'!H10+1))</f>
        <v>0</v>
      </c>
      <c r="DS8">
        <f ca="1">INDIRECT("'Data 7'!DS"&amp;IF('Plot Layout'!H10="",2,'Plot Layout'!H10+1))</f>
        <v>0</v>
      </c>
      <c r="DT8">
        <f ca="1">INDIRECT("'Data 7'!DT"&amp;IF('Plot Layout'!H10="",2,'Plot Layout'!H10+1))</f>
        <v>0</v>
      </c>
      <c r="DU8">
        <f ca="1">INDIRECT("'Data 7'!DU"&amp;IF('Plot Layout'!H10="",2,'Plot Layout'!H10+1))</f>
        <v>0</v>
      </c>
      <c r="DV8">
        <f ca="1">INDIRECT("'Data 7'!DV"&amp;IF('Plot Layout'!H10="",2,'Plot Layout'!H10+1))</f>
        <v>0</v>
      </c>
      <c r="DW8">
        <f ca="1">INDIRECT("'Data 7'!DW"&amp;IF('Plot Layout'!H10="",2,'Plot Layout'!H10+1))</f>
        <v>0</v>
      </c>
      <c r="DX8">
        <f ca="1">INDIRECT("'Data 7'!DX"&amp;IF('Plot Layout'!H10="",2,'Plot Layout'!H10+1))</f>
        <v>0</v>
      </c>
      <c r="DY8">
        <f ca="1">INDIRECT("'Data 7'!DY"&amp;IF('Plot Layout'!H10="",2,'Plot Layout'!H10+1))</f>
        <v>0</v>
      </c>
      <c r="DZ8">
        <f ca="1">INDIRECT("'Data 7'!DZ"&amp;IF('Plot Layout'!H10="",2,'Plot Layout'!H10+1))</f>
        <v>0</v>
      </c>
      <c r="EA8">
        <f ca="1">INDIRECT("'Data 7'!EA"&amp;IF('Plot Layout'!H10="",2,'Plot Layout'!H10+1))</f>
        <v>0</v>
      </c>
      <c r="EB8">
        <f ca="1">INDIRECT("'Data 7'!EB"&amp;IF('Plot Layout'!H10="",2,'Plot Layout'!H10+1))</f>
        <v>0</v>
      </c>
      <c r="EC8">
        <f ca="1">INDIRECT("'Data 7'!EC"&amp;IF('Plot Layout'!H10="",2,'Plot Layout'!H10+1))</f>
        <v>0</v>
      </c>
      <c r="ED8">
        <f ca="1">INDIRECT("'Data 7'!ED"&amp;IF('Plot Layout'!H10="",2,'Plot Layout'!H10+1))</f>
        <v>0</v>
      </c>
      <c r="EE8">
        <f ca="1">INDIRECT("'Data 7'!EE"&amp;IF('Plot Layout'!H10="",2,'Plot Layout'!H10+1))</f>
        <v>0</v>
      </c>
      <c r="EF8">
        <f ca="1">INDIRECT("'Data 7'!EF"&amp;IF('Plot Layout'!H10="",2,'Plot Layout'!H10+1))</f>
        <v>0</v>
      </c>
      <c r="EG8">
        <f ca="1">INDIRECT("'Data 7'!EG"&amp;IF('Plot Layout'!H10="",2,'Plot Layout'!H10+1))</f>
        <v>0</v>
      </c>
      <c r="EH8">
        <f ca="1">INDIRECT("'Data 7'!EH"&amp;IF('Plot Layout'!H10="",2,'Plot Layout'!H10+1))</f>
        <v>0</v>
      </c>
      <c r="EI8">
        <f ca="1">INDIRECT("'Data 7'!EI"&amp;IF('Plot Layout'!H10="",2,'Plot Layout'!H10+1))</f>
        <v>0</v>
      </c>
      <c r="EJ8">
        <f ca="1">INDIRECT("'Data 7'!EJ"&amp;IF('Plot Layout'!H10="",2,'Plot Layout'!H10+1))</f>
        <v>0</v>
      </c>
      <c r="EK8">
        <f ca="1">INDIRECT("'Data 7'!EK"&amp;IF('Plot Layout'!H10="",2,'Plot Layout'!H10+1))</f>
        <v>0</v>
      </c>
      <c r="EL8">
        <f ca="1">INDIRECT("'Data 7'!EL"&amp;IF('Plot Layout'!H10="",2,'Plot Layout'!H10+1))</f>
        <v>0</v>
      </c>
      <c r="EM8">
        <f ca="1">INDIRECT("'Data 7'!EM"&amp;IF('Plot Layout'!H10="",2,'Plot Layout'!H10+1))</f>
        <v>0</v>
      </c>
      <c r="EN8">
        <f ca="1">INDIRECT("'Data 7'!EN"&amp;IF('Plot Layout'!H10="",2,'Plot Layout'!H10+1))</f>
        <v>0</v>
      </c>
      <c r="EO8">
        <f ca="1">INDIRECT("'Data 7'!EO"&amp;IF('Plot Layout'!H10="",2,'Plot Layout'!H10+1))</f>
        <v>0</v>
      </c>
      <c r="EP8">
        <f ca="1">INDIRECT("'Data 7'!EP"&amp;IF('Plot Layout'!H10="",2,'Plot Layout'!H10+1))</f>
        <v>0</v>
      </c>
      <c r="EQ8">
        <f ca="1">INDIRECT("'Data 7'!EQ"&amp;IF('Plot Layout'!H10="",2,'Plot Layout'!H10+1))</f>
        <v>0</v>
      </c>
      <c r="ER8">
        <f ca="1">INDIRECT("'Data 7'!ER"&amp;IF('Plot Layout'!H10="",2,'Plot Layout'!H10+1))</f>
        <v>0</v>
      </c>
      <c r="ES8">
        <f ca="1">INDIRECT("'Data 7'!ES"&amp;IF('Plot Layout'!H10="",2,'Plot Layout'!H10+1))</f>
        <v>0</v>
      </c>
      <c r="ET8">
        <f ca="1">INDIRECT("'Data 7'!ET"&amp;IF('Plot Layout'!H10="",2,'Plot Layout'!H10+1))</f>
        <v>0</v>
      </c>
      <c r="EU8">
        <f ca="1">INDIRECT("'Data 7'!EU"&amp;IF('Plot Layout'!H10="",2,'Plot Layout'!H10+1))</f>
        <v>0</v>
      </c>
      <c r="EV8">
        <f ca="1">INDIRECT("'Data 7'!EV"&amp;IF('Plot Layout'!H10="",2,'Plot Layout'!H10+1))</f>
        <v>0</v>
      </c>
      <c r="EW8">
        <f ca="1">INDIRECT("'Data 7'!EW"&amp;IF('Plot Layout'!H10="",2,'Plot Layout'!H10+1))</f>
        <v>0</v>
      </c>
      <c r="EX8">
        <f ca="1">INDIRECT("'Data 7'!EX"&amp;IF('Plot Layout'!H10="",2,'Plot Layout'!H10+1))</f>
        <v>0</v>
      </c>
      <c r="EY8">
        <f ca="1">INDIRECT("'Data 7'!EY"&amp;IF('Plot Layout'!H10="",2,'Plot Layout'!H10+1))</f>
        <v>0</v>
      </c>
      <c r="EZ8">
        <f ca="1">INDIRECT("'Data 7'!EZ"&amp;IF('Plot Layout'!H10="",2,'Plot Layout'!H10+1))</f>
        <v>0</v>
      </c>
      <c r="FA8">
        <f ca="1">INDIRECT("'Data 7'!FA"&amp;IF('Plot Layout'!H10="",2,'Plot Layout'!H10+1))</f>
        <v>0</v>
      </c>
      <c r="FB8">
        <f ca="1">INDIRECT("'Data 7'!FB"&amp;IF('Plot Layout'!H10="",2,'Plot Layout'!H10+1))</f>
        <v>0</v>
      </c>
      <c r="FC8">
        <f ca="1">INDIRECT("'Data 7'!FC"&amp;IF('Plot Layout'!H10="",2,'Plot Layout'!H10+1))</f>
        <v>0</v>
      </c>
      <c r="FD8">
        <f ca="1">INDIRECT("'Data 7'!FD"&amp;IF('Plot Layout'!H10="",2,'Plot Layout'!H10+1))</f>
        <v>0</v>
      </c>
      <c r="FE8">
        <f ca="1">INDIRECT("'Data 7'!FE"&amp;IF('Plot Layout'!H10="",2,'Plot Layout'!H10+1))</f>
        <v>0</v>
      </c>
      <c r="FF8">
        <f ca="1">INDIRECT("'Data 7'!FF"&amp;IF('Plot Layout'!H10="",2,'Plot Layout'!H10+1))</f>
        <v>0</v>
      </c>
      <c r="FG8">
        <f ca="1">INDIRECT("'Data 7'!FG"&amp;IF('Plot Layout'!H10="",2,'Plot Layout'!H10+1))</f>
        <v>0</v>
      </c>
      <c r="FH8">
        <f ca="1">INDIRECT("'Data 7'!FH"&amp;IF('Plot Layout'!H10="",2,'Plot Layout'!H10+1))</f>
        <v>0</v>
      </c>
      <c r="FI8">
        <f ca="1">INDIRECT("'Data 7'!FI"&amp;IF('Plot Layout'!H10="",2,'Plot Layout'!H10+1))</f>
        <v>0</v>
      </c>
      <c r="FJ8">
        <f ca="1">INDIRECT("'Data 7'!FJ"&amp;IF('Plot Layout'!H10="",2,'Plot Layout'!H10+1))</f>
        <v>0</v>
      </c>
      <c r="FK8">
        <f ca="1">INDIRECT("'Data 7'!FK"&amp;IF('Plot Layout'!H10="",2,'Plot Layout'!H10+1))</f>
        <v>0</v>
      </c>
      <c r="FL8">
        <f ca="1">INDIRECT("'Data 7'!FL"&amp;IF('Plot Layout'!H10="",2,'Plot Layout'!H10+1))</f>
        <v>0</v>
      </c>
      <c r="FM8">
        <f ca="1">INDIRECT("'Data 7'!FM"&amp;IF('Plot Layout'!H10="",2,'Plot Layout'!H10+1))</f>
        <v>0</v>
      </c>
      <c r="FN8">
        <f ca="1">INDIRECT("'Data 7'!FN"&amp;IF('Plot Layout'!H10="",2,'Plot Layout'!H10+1))</f>
        <v>0</v>
      </c>
      <c r="FO8">
        <f ca="1">INDIRECT("'Data 7'!FO"&amp;IF('Plot Layout'!H10="",2,'Plot Layout'!H10+1))</f>
        <v>0</v>
      </c>
      <c r="FP8">
        <f ca="1">INDIRECT("'Data 7'!FP"&amp;IF('Plot Layout'!H10="",2,'Plot Layout'!H10+1))</f>
        <v>0</v>
      </c>
      <c r="FQ8">
        <f ca="1">INDIRECT("'Data 7'!FQ"&amp;IF('Plot Layout'!H10="",2,'Plot Layout'!H10+1))</f>
        <v>0</v>
      </c>
      <c r="FR8">
        <f ca="1">INDIRECT("'Data 7'!FR"&amp;IF('Plot Layout'!H10="",2,'Plot Layout'!H10+1))</f>
        <v>0</v>
      </c>
      <c r="FS8">
        <f ca="1">INDIRECT("'Data 7'!FS"&amp;IF('Plot Layout'!H10="",2,'Plot Layout'!H10+1))</f>
        <v>0</v>
      </c>
      <c r="FT8">
        <f ca="1">INDIRECT("'Data 7'!FT"&amp;IF('Plot Layout'!H10="",2,'Plot Layout'!H10+1))</f>
        <v>0</v>
      </c>
      <c r="FU8">
        <f ca="1">INDIRECT("'Data 7'!FU"&amp;IF('Plot Layout'!H10="",2,'Plot Layout'!H10+1))</f>
        <v>0</v>
      </c>
      <c r="FV8">
        <f ca="1">INDIRECT("'Data 7'!FV"&amp;IF('Plot Layout'!H10="",2,'Plot Layout'!H10+1))</f>
        <v>0</v>
      </c>
      <c r="FW8">
        <f ca="1">INDIRECT("'Data 7'!FW"&amp;IF('Plot Layout'!H10="",2,'Plot Layout'!H10+1))</f>
        <v>0</v>
      </c>
      <c r="FX8">
        <f ca="1">INDIRECT("'Data 7'!FX"&amp;IF('Plot Layout'!H10="",2,'Plot Layout'!H10+1))</f>
        <v>0</v>
      </c>
      <c r="FY8">
        <f ca="1">INDIRECT("'Data 7'!FY"&amp;IF('Plot Layout'!H10="",2,'Plot Layout'!H10+1))</f>
        <v>0</v>
      </c>
      <c r="FZ8">
        <f ca="1">INDIRECT("'Data 7'!FZ"&amp;IF('Plot Layout'!H10="",2,'Plot Layout'!H10+1))</f>
        <v>0</v>
      </c>
      <c r="GA8">
        <f ca="1">INDIRECT("'Data 7'!GA"&amp;IF('Plot Layout'!H10="",2,'Plot Layout'!H10+1))</f>
        <v>0</v>
      </c>
      <c r="GB8">
        <f ca="1">INDIRECT("'Data 7'!GB"&amp;IF('Plot Layout'!H10="",2,'Plot Layout'!H10+1))</f>
        <v>0</v>
      </c>
      <c r="GC8">
        <f ca="1">INDIRECT("'Data 7'!GC"&amp;IF('Plot Layout'!H10="",2,'Plot Layout'!H10+1))</f>
        <v>0</v>
      </c>
      <c r="GD8">
        <f ca="1">INDIRECT("'Data 7'!GD"&amp;IF('Plot Layout'!H10="",2,'Plot Layout'!H10+1))</f>
        <v>0</v>
      </c>
      <c r="GE8">
        <f ca="1">INDIRECT("'Data 7'!GE"&amp;IF('Plot Layout'!H10="",2,'Plot Layout'!H10+1))</f>
        <v>0</v>
      </c>
      <c r="GF8">
        <f ca="1">INDIRECT("'Data 7'!GF"&amp;IF('Plot Layout'!H10="",2,'Plot Layout'!H10+1))</f>
        <v>0</v>
      </c>
      <c r="GG8">
        <f ca="1">INDIRECT("'Data 7'!GG"&amp;IF('Plot Layout'!H10="",2,'Plot Layout'!H10+1))</f>
        <v>0</v>
      </c>
      <c r="GH8">
        <f ca="1">INDIRECT("'Data 7'!GH"&amp;IF('Plot Layout'!H10="",2,'Plot Layout'!H10+1))</f>
        <v>0</v>
      </c>
      <c r="GI8">
        <f ca="1">INDIRECT("'Data 7'!GI"&amp;IF('Plot Layout'!H10="",2,'Plot Layout'!H10+1))</f>
        <v>0</v>
      </c>
      <c r="GJ8">
        <f ca="1">INDIRECT("'Data 7'!GJ"&amp;IF('Plot Layout'!H10="",2,'Plot Layout'!H10+1))</f>
        <v>0</v>
      </c>
      <c r="GK8">
        <f ca="1">INDIRECT("'Data 7'!GK"&amp;IF('Plot Layout'!H10="",2,'Plot Layout'!H10+1))</f>
        <v>0</v>
      </c>
      <c r="GL8">
        <f ca="1">INDIRECT("'Data 7'!GL"&amp;IF('Plot Layout'!H10="",2,'Plot Layout'!H10+1))</f>
        <v>0</v>
      </c>
      <c r="GM8">
        <f ca="1">INDIRECT("'Data 7'!GM"&amp;IF('Plot Layout'!H10="",2,'Plot Layout'!H10+1))</f>
        <v>0</v>
      </c>
      <c r="GN8">
        <f ca="1">INDIRECT("'Data 7'!GN"&amp;IF('Plot Layout'!H10="",2,'Plot Layout'!H10+1))</f>
        <v>0</v>
      </c>
      <c r="GO8">
        <f ca="1">INDIRECT("'Data 7'!GO"&amp;IF('Plot Layout'!H10="",2,'Plot Layout'!H10+1))</f>
        <v>0</v>
      </c>
      <c r="GP8">
        <f ca="1">INDIRECT("'Data 7'!GP"&amp;IF('Plot Layout'!H10="",2,'Plot Layout'!H10+1))</f>
        <v>0</v>
      </c>
      <c r="GQ8">
        <f ca="1">INDIRECT("'Data 7'!GQ"&amp;IF('Plot Layout'!H10="",2,'Plot Layout'!H10+1))</f>
        <v>0</v>
      </c>
      <c r="GR8">
        <f ca="1">INDIRECT("'Data 7'!GR"&amp;IF('Plot Layout'!H10="",2,'Plot Layout'!H10+1))</f>
        <v>0</v>
      </c>
      <c r="GS8">
        <f ca="1">INDIRECT("'Data 7'!GS"&amp;IF('Plot Layout'!H10="",2,'Plot Layout'!H10+1))</f>
        <v>0</v>
      </c>
      <c r="GT8">
        <f ca="1">INDIRECT("'Data 7'!GT"&amp;IF('Plot Layout'!H10="",2,'Plot Layout'!H10+1))</f>
        <v>0</v>
      </c>
      <c r="GU8">
        <f ca="1">INDIRECT("'Data 7'!GU"&amp;IF('Plot Layout'!H10="",2,'Plot Layout'!H10+1))</f>
        <v>0</v>
      </c>
      <c r="GV8">
        <f ca="1">INDIRECT("'Data 7'!GV"&amp;IF('Plot Layout'!H10="",2,'Plot Layout'!H10+1))</f>
        <v>0</v>
      </c>
      <c r="GW8">
        <f ca="1">INDIRECT("'Data 7'!GW"&amp;IF('Plot Layout'!H10="",2,'Plot Layout'!H10+1))</f>
        <v>0</v>
      </c>
      <c r="GX8">
        <f ca="1">INDIRECT("'Data 7'!GX"&amp;IF('Plot Layout'!H10="",2,'Plot Layout'!H10+1))</f>
        <v>0</v>
      </c>
      <c r="GY8">
        <f ca="1">INDIRECT("'Data 7'!GY"&amp;IF('Plot Layout'!H10="",2,'Plot Layout'!H10+1))</f>
        <v>0</v>
      </c>
      <c r="GZ8">
        <f ca="1">INDIRECT("'Data 7'!GZ"&amp;IF('Plot Layout'!H10="",2,'Plot Layout'!H10+1))</f>
        <v>0</v>
      </c>
      <c r="HA8">
        <f ca="1">INDIRECT("'Data 7'!HA"&amp;IF('Plot Layout'!H10="",2,'Plot Layout'!H10+1))</f>
        <v>0</v>
      </c>
      <c r="HB8">
        <f ca="1">INDIRECT("'Data 7'!HB"&amp;IF('Plot Layout'!H10="",2,'Plot Layout'!H10+1))</f>
        <v>0</v>
      </c>
      <c r="HC8">
        <f ca="1">INDIRECT("'Data 7'!HC"&amp;IF('Plot Layout'!H10="",2,'Plot Layout'!H10+1))</f>
        <v>0</v>
      </c>
      <c r="HD8">
        <f ca="1">INDIRECT("'Data 7'!HD"&amp;IF('Plot Layout'!H10="",2,'Plot Layout'!H10+1))</f>
        <v>0</v>
      </c>
      <c r="HE8">
        <f ca="1">INDIRECT("'Data 7'!HE"&amp;IF('Plot Layout'!H10="",2,'Plot Layout'!H10+1))</f>
        <v>0</v>
      </c>
      <c r="HF8">
        <f ca="1">INDIRECT("'Data 7'!HF"&amp;IF('Plot Layout'!H10="",2,'Plot Layout'!H10+1))</f>
        <v>0</v>
      </c>
      <c r="HG8">
        <f ca="1">INDIRECT("'Data 7'!HG"&amp;IF('Plot Layout'!H10="",2,'Plot Layout'!H10+1))</f>
        <v>0</v>
      </c>
      <c r="HH8">
        <f ca="1">INDIRECT("'Data 7'!HH"&amp;IF('Plot Layout'!H10="",2,'Plot Layout'!H10+1))</f>
        <v>0</v>
      </c>
      <c r="HI8">
        <f ca="1">INDIRECT("'Data 7'!HI"&amp;IF('Plot Layout'!H10="",2,'Plot Layout'!H10+1))</f>
        <v>0</v>
      </c>
      <c r="HJ8">
        <f ca="1">INDIRECT("'Data 7'!HJ"&amp;IF('Plot Layout'!H10="",2,'Plot Layout'!H10+1))</f>
        <v>0</v>
      </c>
      <c r="HK8">
        <f ca="1">INDIRECT("'Data 7'!HK"&amp;IF('Plot Layout'!H10="",2,'Plot Layout'!H10+1))</f>
        <v>0</v>
      </c>
      <c r="HL8">
        <f ca="1">INDIRECT("'Data 7'!HL"&amp;IF('Plot Layout'!H10="",2,'Plot Layout'!H10+1))</f>
        <v>0</v>
      </c>
      <c r="HM8">
        <f ca="1">INDIRECT("'Data 7'!HM"&amp;IF('Plot Layout'!H10="",2,'Plot Layout'!H10+1))</f>
        <v>0</v>
      </c>
      <c r="HN8">
        <f ca="1">INDIRECT("'Data 7'!HN"&amp;IF('Plot Layout'!H10="",2,'Plot Layout'!H10+1))</f>
        <v>0</v>
      </c>
      <c r="HO8">
        <f ca="1">INDIRECT("'Data 7'!HO"&amp;IF('Plot Layout'!H10="",2,'Plot Layout'!H10+1))</f>
        <v>0</v>
      </c>
      <c r="HP8">
        <f ca="1">INDIRECT("'Data 7'!HP"&amp;IF('Plot Layout'!H10="",2,'Plot Layout'!H10+1))</f>
        <v>0</v>
      </c>
      <c r="HQ8">
        <f ca="1">INDIRECT("'Data 7'!HQ"&amp;IF('Plot Layout'!H10="",2,'Plot Layout'!H10+1))</f>
        <v>0</v>
      </c>
      <c r="HR8">
        <f ca="1">INDIRECT("'Data 7'!HR"&amp;IF('Plot Layout'!H10="",2,'Plot Layout'!H10+1))</f>
        <v>0</v>
      </c>
      <c r="HS8">
        <f ca="1">INDIRECT("'Data 7'!HS"&amp;IF('Plot Layout'!H10="",2,'Plot Layout'!H10+1))</f>
        <v>0</v>
      </c>
      <c r="HT8">
        <f ca="1">INDIRECT("'Data 7'!HT"&amp;IF('Plot Layout'!H10="",2,'Plot Layout'!H10+1))</f>
        <v>0</v>
      </c>
      <c r="HU8">
        <f ca="1">INDIRECT("'Data 7'!HU"&amp;IF('Plot Layout'!H10="",2,'Plot Layout'!H10+1))</f>
        <v>0</v>
      </c>
      <c r="HV8">
        <f ca="1">INDIRECT("'Data 7'!HV"&amp;IF('Plot Layout'!H10="",2,'Plot Layout'!H10+1))</f>
        <v>0</v>
      </c>
      <c r="HW8">
        <f ca="1">INDIRECT("'Data 7'!HW"&amp;IF('Plot Layout'!H10="",2,'Plot Layout'!H10+1))</f>
        <v>0</v>
      </c>
      <c r="HX8">
        <f ca="1">INDIRECT("'Data 7'!HX"&amp;IF('Plot Layout'!H10="",2,'Plot Layout'!H10+1))</f>
        <v>0</v>
      </c>
      <c r="HY8">
        <f ca="1">INDIRECT("'Data 7'!HY"&amp;IF('Plot Layout'!H10="",2,'Plot Layout'!H10+1))</f>
        <v>0</v>
      </c>
      <c r="HZ8">
        <f ca="1">INDIRECT("'Data 7'!HZ"&amp;IF('Plot Layout'!H10="",2,'Plot Layout'!H10+1))</f>
        <v>0</v>
      </c>
      <c r="IA8">
        <f ca="1">INDIRECT("'Data 7'!IA"&amp;IF('Plot Layout'!H10="",2,'Plot Layout'!H10+1))</f>
        <v>0</v>
      </c>
      <c r="IB8">
        <f ca="1">INDIRECT("'Data 7'!IB"&amp;IF('Plot Layout'!H10="",2,'Plot Layout'!H10+1))</f>
        <v>0</v>
      </c>
      <c r="IC8">
        <f ca="1">INDIRECT("'Data 7'!IC"&amp;IF('Plot Layout'!H10="",2,'Plot Layout'!H10+1))</f>
        <v>0</v>
      </c>
      <c r="ID8">
        <f ca="1">INDIRECT("'Data 7'!ID"&amp;IF('Plot Layout'!H10="",2,'Plot Layout'!H10+1))</f>
        <v>0</v>
      </c>
      <c r="IE8">
        <f ca="1">INDIRECT("'Data 7'!IE"&amp;IF('Plot Layout'!H10="",2,'Plot Layout'!H10+1))</f>
        <v>0</v>
      </c>
      <c r="IF8">
        <f ca="1">INDIRECT("'Data 7'!IF"&amp;IF('Plot Layout'!H10="",2,'Plot Layout'!H10+1))</f>
        <v>0</v>
      </c>
      <c r="IG8">
        <f ca="1">INDIRECT("'Data 7'!IG"&amp;IF('Plot Layout'!H10="",2,'Plot Layout'!H10+1))</f>
        <v>0</v>
      </c>
      <c r="IH8">
        <f ca="1">INDIRECT("'Data 7'!IH"&amp;IF('Plot Layout'!H10="",2,'Plot Layout'!H10+1))</f>
        <v>0</v>
      </c>
      <c r="II8">
        <f ca="1">INDIRECT("'Data 7'!II"&amp;IF('Plot Layout'!H10="",2,'Plot Layout'!H10+1))</f>
        <v>0</v>
      </c>
      <c r="IJ8">
        <f ca="1">INDIRECT("'Data 7'!IJ"&amp;IF('Plot Layout'!H10="",2,'Plot Layout'!H10+1))</f>
        <v>0</v>
      </c>
      <c r="IK8">
        <f ca="1">INDIRECT("'Data 7'!IK"&amp;IF('Plot Layout'!H10="",2,'Plot Layout'!H10+1))</f>
        <v>0</v>
      </c>
      <c r="IL8">
        <f ca="1">INDIRECT("'Data 7'!IL"&amp;IF('Plot Layout'!H10="",2,'Plot Layout'!H10+1))</f>
        <v>0</v>
      </c>
      <c r="IM8">
        <f ca="1">INDIRECT("'Data 7'!IM"&amp;IF('Plot Layout'!H10="",2,'Plot Layout'!H10+1))</f>
        <v>0</v>
      </c>
      <c r="IN8">
        <f ca="1">INDIRECT("'Data 7'!IN"&amp;IF('Plot Layout'!H10="",2,'Plot Layout'!H10+1))</f>
        <v>0</v>
      </c>
      <c r="IO8">
        <f ca="1">INDIRECT("'Data 7'!IO"&amp;IF('Plot Layout'!H10="",2,'Plot Layout'!H10+1))</f>
        <v>0</v>
      </c>
      <c r="IP8">
        <f ca="1">INDIRECT("'Data 7'!IP"&amp;IF('Plot Layout'!H10="",2,'Plot Layout'!H10+1))</f>
        <v>0</v>
      </c>
      <c r="IQ8">
        <f ca="1">INDIRECT("'Data 7'!IQ"&amp;IF('Plot Layout'!H10="",2,'Plot Layout'!H10+1))</f>
        <v>0</v>
      </c>
      <c r="IR8">
        <f ca="1">INDIRECT("'Data 7'!IR"&amp;IF('Plot Layout'!H10="",2,'Plot Layout'!H10+1))</f>
        <v>0</v>
      </c>
      <c r="IS8">
        <f ca="1">INDIRECT("'Data 7'!IS"&amp;IF('Plot Layout'!H10="",2,'Plot Layout'!H10+1))</f>
        <v>0</v>
      </c>
      <c r="IT8">
        <f ca="1">INDIRECT("'Data 7'!IT"&amp;IF('Plot Layout'!H10="",2,'Plot Layout'!H10+1))</f>
        <v>0</v>
      </c>
      <c r="IU8">
        <f ca="1">INDIRECT("'Data 7'!IU"&amp;IF('Plot Layout'!H10="",2,'Plot Layout'!H10+1))</f>
        <v>0</v>
      </c>
      <c r="IV8">
        <f ca="1">INDIRECT("'Data 7'!IV"&amp;IF('Plot Layout'!H10="",2,'Plot Layout'!H10+1))</f>
        <v>0</v>
      </c>
    </row>
    <row r="9" spans="1:256">
      <c r="A9">
        <f ca="1">INDIRECT("'Data 8'!A"&amp;IF('Plot Layout'!I10="",2,'Plot Layout'!I10+1))</f>
        <v>70</v>
      </c>
      <c r="B9">
        <f ca="1">INDIRECT("'Data 8'!B"&amp;IF('Plot Layout'!I10="",2,'Plot Layout'!I10+1))</f>
        <v>1</v>
      </c>
      <c r="C9" t="str">
        <f ca="1">INDIRECT("'Data 8'!C"&amp;IF('Plot Layout'!I10="",2,'Plot Layout'!I10+1))</f>
        <v>65-410</v>
      </c>
      <c r="D9">
        <f ca="1">INDIRECT("'Data 8'!D"&amp;IF('Plot Layout'!I10="",2,'Plot Layout'!I10+1))</f>
        <v>6.7000000000000002E-3</v>
      </c>
      <c r="E9">
        <f ca="1">INDIRECT("'Data 8'!E"&amp;IF('Plot Layout'!I10="",2,'Plot Layout'!I10+1))</f>
        <v>1.5E-3</v>
      </c>
      <c r="F9">
        <f ca="1">INDIRECT("'Data 8'!F"&amp;IF('Plot Layout'!I10="",2,'Plot Layout'!I10+1))</f>
        <v>0.1</v>
      </c>
      <c r="G9">
        <f ca="1">INDIRECT("'Data 8'!G"&amp;IF('Plot Layout'!I10="",2,'Plot Layout'!I10+1))</f>
        <v>4</v>
      </c>
      <c r="H9">
        <f ca="1">INDIRECT("'Data 8'!H"&amp;IF('Plot Layout'!I10="",2,'Plot Layout'!I10+1))</f>
        <v>0</v>
      </c>
      <c r="I9">
        <f ca="1">INDIRECT("'Data 8'!I"&amp;IF('Plot Layout'!I10="",2,'Plot Layout'!I10+1))</f>
        <v>4.5999999999999996</v>
      </c>
      <c r="J9">
        <f ca="1">INDIRECT("'Data 8'!J"&amp;IF('Plot Layout'!I10="",2,'Plot Layout'!I10+1))</f>
        <v>9.5</v>
      </c>
      <c r="K9">
        <f ca="1">INDIRECT("'Data 8'!K"&amp;IF('Plot Layout'!I10="",2,'Plot Layout'!I10+1))</f>
        <v>22.8</v>
      </c>
      <c r="L9">
        <f ca="1">INDIRECT("'Data 8'!L"&amp;IF('Plot Layout'!I10="",2,'Plot Layout'!I10+1))</f>
        <v>15.6</v>
      </c>
      <c r="M9">
        <f ca="1">INDIRECT("'Data 8'!M"&amp;IF('Plot Layout'!I10="",2,'Plot Layout'!I10+1))</f>
        <v>0.28100000000000003</v>
      </c>
      <c r="N9">
        <f ca="1">INDIRECT("'Data 8'!N"&amp;IF('Plot Layout'!I10="",2,'Plot Layout'!I10+1))</f>
        <v>1.012</v>
      </c>
      <c r="O9">
        <f ca="1">INDIRECT("'Data 8'!O"&amp;IF('Plot Layout'!I10="",2,'Plot Layout'!I10+1))</f>
        <v>-2.5</v>
      </c>
      <c r="P9">
        <f ca="1">INDIRECT("'Data 8'!P"&amp;IF('Plot Layout'!I10="",2,'Plot Layout'!I10+1))</f>
        <v>-2</v>
      </c>
      <c r="Q9">
        <f ca="1">INDIRECT("'Data 8'!Q"&amp;IF('Plot Layout'!I10="",2,'Plot Layout'!I10+1))</f>
        <v>1.0999999999999999E-2</v>
      </c>
      <c r="R9">
        <f ca="1">INDIRECT("'Data 8'!R"&amp;IF('Plot Layout'!I10="",2,'Plot Layout'!I10+1))</f>
        <v>0</v>
      </c>
      <c r="S9">
        <f ca="1">INDIRECT("'Data 8'!S"&amp;IF('Plot Layout'!I10="",2,'Plot Layout'!I10+1))</f>
        <v>0</v>
      </c>
      <c r="T9">
        <f ca="1">INDIRECT("'Data 8'!T"&amp;IF('Plot Layout'!I10="",2,'Plot Layout'!I10+1))</f>
        <v>0</v>
      </c>
      <c r="U9">
        <f ca="1">INDIRECT("'Data 8'!U"&amp;IF('Plot Layout'!I10="",2,'Plot Layout'!I10+1))</f>
        <v>0</v>
      </c>
      <c r="V9">
        <f ca="1">INDIRECT("'Data 8'!V"&amp;IF('Plot Layout'!I10="",2,'Plot Layout'!I10+1))</f>
        <v>0</v>
      </c>
      <c r="W9">
        <f ca="1">INDIRECT("'Data 8'!W"&amp;IF('Plot Layout'!I10="",2,'Plot Layout'!I10+1))</f>
        <v>0</v>
      </c>
      <c r="X9">
        <f ca="1">INDIRECT("'Data 8'!X"&amp;IF('Plot Layout'!I10="",2,'Plot Layout'!I10+1))</f>
        <v>0</v>
      </c>
      <c r="Y9">
        <f ca="1">INDIRECT("'Data 8'!Y"&amp;IF('Plot Layout'!I10="",2,'Plot Layout'!I10+1))</f>
        <v>0</v>
      </c>
      <c r="Z9">
        <f ca="1">INDIRECT("'Data 8'!Z"&amp;IF('Plot Layout'!I10="",2,'Plot Layout'!I10+1))</f>
        <v>0</v>
      </c>
      <c r="AA9">
        <f ca="1">INDIRECT("'Data 8'!AA"&amp;IF('Plot Layout'!I10="",2,'Plot Layout'!I10+1))</f>
        <v>0</v>
      </c>
      <c r="AB9">
        <f ca="1">INDIRECT("'Data 8'!AB"&amp;IF('Plot Layout'!I10="",2,'Plot Layout'!I10+1))</f>
        <v>0</v>
      </c>
      <c r="AC9">
        <f ca="1">INDIRECT("'Data 8'!AC"&amp;IF('Plot Layout'!I10="",2,'Plot Layout'!I10+1))</f>
        <v>0</v>
      </c>
      <c r="AD9">
        <f ca="1">INDIRECT("'Data 8'!AD"&amp;IF('Plot Layout'!I10="",2,'Plot Layout'!I10+1))</f>
        <v>0</v>
      </c>
      <c r="AE9">
        <f ca="1">INDIRECT("'Data 8'!AE"&amp;IF('Plot Layout'!I10="",2,'Plot Layout'!I10+1))</f>
        <v>0</v>
      </c>
      <c r="AF9">
        <f ca="1">INDIRECT("'Data 8'!AF"&amp;IF('Plot Layout'!I10="",2,'Plot Layout'!I10+1))</f>
        <v>0</v>
      </c>
      <c r="AG9">
        <f ca="1">INDIRECT("'Data 8'!AG"&amp;IF('Plot Layout'!I10="",2,'Plot Layout'!I10+1))</f>
        <v>0</v>
      </c>
      <c r="AH9">
        <f ca="1">INDIRECT("'Data 8'!AH"&amp;IF('Plot Layout'!I10="",2,'Plot Layout'!I10+1))</f>
        <v>0</v>
      </c>
      <c r="AI9">
        <f ca="1">INDIRECT("'Data 8'!AI"&amp;IF('Plot Layout'!I10="",2,'Plot Layout'!I10+1))</f>
        <v>0</v>
      </c>
      <c r="AJ9">
        <f ca="1">INDIRECT("'Data 8'!AJ"&amp;IF('Plot Layout'!I10="",2,'Plot Layout'!I10+1))</f>
        <v>0</v>
      </c>
      <c r="AK9">
        <f ca="1">INDIRECT("'Data 8'!AK"&amp;IF('Plot Layout'!I10="",2,'Plot Layout'!I10+1))</f>
        <v>0</v>
      </c>
      <c r="AL9">
        <f ca="1">INDIRECT("'Data 8'!AL"&amp;IF('Plot Layout'!I10="",2,'Plot Layout'!I10+1))</f>
        <v>0</v>
      </c>
      <c r="AM9">
        <f ca="1">INDIRECT("'Data 8'!AM"&amp;IF('Plot Layout'!I10="",2,'Plot Layout'!I10+1))</f>
        <v>0</v>
      </c>
      <c r="AN9">
        <f ca="1">INDIRECT("'Data 8'!AN"&amp;IF('Plot Layout'!I10="",2,'Plot Layout'!I10+1))</f>
        <v>0</v>
      </c>
      <c r="AO9">
        <f ca="1">INDIRECT("'Data 8'!AO"&amp;IF('Plot Layout'!I10="",2,'Plot Layout'!I10+1))</f>
        <v>0</v>
      </c>
      <c r="AP9">
        <f ca="1">INDIRECT("'Data 8'!AP"&amp;IF('Plot Layout'!I10="",2,'Plot Layout'!I10+1))</f>
        <v>0</v>
      </c>
      <c r="AQ9">
        <f ca="1">INDIRECT("'Data 8'!AQ"&amp;IF('Plot Layout'!I10="",2,'Plot Layout'!I10+1))</f>
        <v>0</v>
      </c>
      <c r="AR9">
        <f ca="1">INDIRECT("'Data 8'!AR"&amp;IF('Plot Layout'!I10="",2,'Plot Layout'!I10+1))</f>
        <v>0</v>
      </c>
      <c r="AS9">
        <f ca="1">INDIRECT("'Data 8'!AS"&amp;IF('Plot Layout'!I10="",2,'Plot Layout'!I10+1))</f>
        <v>0</v>
      </c>
      <c r="AT9">
        <f ca="1">INDIRECT("'Data 8'!AT"&amp;IF('Plot Layout'!I10="",2,'Plot Layout'!I10+1))</f>
        <v>0</v>
      </c>
      <c r="AU9">
        <f ca="1">INDIRECT("'Data 8'!AU"&amp;IF('Plot Layout'!I10="",2,'Plot Layout'!I10+1))</f>
        <v>0</v>
      </c>
      <c r="AV9">
        <f ca="1">INDIRECT("'Data 8'!AV"&amp;IF('Plot Layout'!I10="",2,'Plot Layout'!I10+1))</f>
        <v>0</v>
      </c>
      <c r="AW9">
        <f ca="1">INDIRECT("'Data 8'!AW"&amp;IF('Plot Layout'!I10="",2,'Plot Layout'!I10+1))</f>
        <v>0</v>
      </c>
      <c r="AX9">
        <f ca="1">INDIRECT("'Data 8'!AX"&amp;IF('Plot Layout'!I10="",2,'Plot Layout'!I10+1))</f>
        <v>0</v>
      </c>
      <c r="AY9">
        <f ca="1">INDIRECT("'Data 8'!AY"&amp;IF('Plot Layout'!I10="",2,'Plot Layout'!I10+1))</f>
        <v>0</v>
      </c>
      <c r="AZ9">
        <f ca="1">INDIRECT("'Data 8'!AZ"&amp;IF('Plot Layout'!I10="",2,'Plot Layout'!I10+1))</f>
        <v>0</v>
      </c>
      <c r="BA9">
        <f ca="1">INDIRECT("'Data 8'!BA"&amp;IF('Plot Layout'!I10="",2,'Plot Layout'!I10+1))</f>
        <v>0</v>
      </c>
      <c r="BB9">
        <f ca="1">INDIRECT("'Data 8'!BB"&amp;IF('Plot Layout'!I10="",2,'Plot Layout'!I10+1))</f>
        <v>0</v>
      </c>
      <c r="BC9">
        <f ca="1">INDIRECT("'Data 8'!BC"&amp;IF('Plot Layout'!I10="",2,'Plot Layout'!I10+1))</f>
        <v>0</v>
      </c>
      <c r="BD9">
        <f ca="1">INDIRECT("'Data 8'!BD"&amp;IF('Plot Layout'!I10="",2,'Plot Layout'!I10+1))</f>
        <v>0</v>
      </c>
      <c r="BE9">
        <f ca="1">INDIRECT("'Data 8'!BE"&amp;IF('Plot Layout'!I10="",2,'Plot Layout'!I10+1))</f>
        <v>0</v>
      </c>
      <c r="BF9">
        <f ca="1">INDIRECT("'Data 8'!BF"&amp;IF('Plot Layout'!I10="",2,'Plot Layout'!I10+1))</f>
        <v>0</v>
      </c>
      <c r="BG9">
        <f ca="1">INDIRECT("'Data 8'!BG"&amp;IF('Plot Layout'!I10="",2,'Plot Layout'!I10+1))</f>
        <v>0</v>
      </c>
      <c r="BH9">
        <f ca="1">INDIRECT("'Data 8'!BH"&amp;IF('Plot Layout'!I10="",2,'Plot Layout'!I10+1))</f>
        <v>0</v>
      </c>
      <c r="BI9">
        <f ca="1">INDIRECT("'Data 8'!BI"&amp;IF('Plot Layout'!I10="",2,'Plot Layout'!I10+1))</f>
        <v>0</v>
      </c>
      <c r="BJ9">
        <f ca="1">INDIRECT("'Data 8'!BJ"&amp;IF('Plot Layout'!I10="",2,'Plot Layout'!I10+1))</f>
        <v>0</v>
      </c>
      <c r="BK9">
        <f ca="1">INDIRECT("'Data 8'!BK"&amp;IF('Plot Layout'!I10="",2,'Plot Layout'!I10+1))</f>
        <v>0</v>
      </c>
      <c r="BL9">
        <f ca="1">INDIRECT("'Data 8'!BL"&amp;IF('Plot Layout'!I10="",2,'Plot Layout'!I10+1))</f>
        <v>0</v>
      </c>
      <c r="BM9">
        <f ca="1">INDIRECT("'Data 8'!BM"&amp;IF('Plot Layout'!I10="",2,'Plot Layout'!I10+1))</f>
        <v>0</v>
      </c>
      <c r="BN9">
        <f ca="1">INDIRECT("'Data 8'!BN"&amp;IF('Plot Layout'!I10="",2,'Plot Layout'!I10+1))</f>
        <v>0</v>
      </c>
      <c r="BO9">
        <f ca="1">INDIRECT("'Data 8'!BO"&amp;IF('Plot Layout'!I10="",2,'Plot Layout'!I10+1))</f>
        <v>0</v>
      </c>
      <c r="BP9">
        <f ca="1">INDIRECT("'Data 8'!BP"&amp;IF('Plot Layout'!I10="",2,'Plot Layout'!I10+1))</f>
        <v>0</v>
      </c>
      <c r="BQ9">
        <f ca="1">INDIRECT("'Data 8'!BQ"&amp;IF('Plot Layout'!I10="",2,'Plot Layout'!I10+1))</f>
        <v>0</v>
      </c>
      <c r="BR9">
        <f ca="1">INDIRECT("'Data 8'!BR"&amp;IF('Plot Layout'!I10="",2,'Plot Layout'!I10+1))</f>
        <v>0</v>
      </c>
      <c r="BS9">
        <f ca="1">INDIRECT("'Data 8'!BS"&amp;IF('Plot Layout'!I10="",2,'Plot Layout'!I10+1))</f>
        <v>0</v>
      </c>
      <c r="BT9">
        <f ca="1">INDIRECT("'Data 8'!BT"&amp;IF('Plot Layout'!I10="",2,'Plot Layout'!I10+1))</f>
        <v>0</v>
      </c>
      <c r="BU9">
        <f ca="1">INDIRECT("'Data 8'!BU"&amp;IF('Plot Layout'!I10="",2,'Plot Layout'!I10+1))</f>
        <v>0</v>
      </c>
      <c r="BV9">
        <f ca="1">INDIRECT("'Data 8'!BV"&amp;IF('Plot Layout'!I10="",2,'Plot Layout'!I10+1))</f>
        <v>0</v>
      </c>
      <c r="BW9">
        <f ca="1">INDIRECT("'Data 8'!BW"&amp;IF('Plot Layout'!I10="",2,'Plot Layout'!I10+1))</f>
        <v>0</v>
      </c>
      <c r="BX9">
        <f ca="1">INDIRECT("'Data 8'!BX"&amp;IF('Plot Layout'!I10="",2,'Plot Layout'!I10+1))</f>
        <v>0</v>
      </c>
      <c r="BY9">
        <f ca="1">INDIRECT("'Data 8'!BY"&amp;IF('Plot Layout'!I10="",2,'Plot Layout'!I10+1))</f>
        <v>0</v>
      </c>
      <c r="BZ9">
        <f ca="1">INDIRECT("'Data 8'!BZ"&amp;IF('Plot Layout'!I10="",2,'Plot Layout'!I10+1))</f>
        <v>0</v>
      </c>
      <c r="CA9">
        <f ca="1">INDIRECT("'Data 8'!CA"&amp;IF('Plot Layout'!I10="",2,'Plot Layout'!I10+1))</f>
        <v>0</v>
      </c>
      <c r="CB9">
        <f ca="1">INDIRECT("'Data 8'!CB"&amp;IF('Plot Layout'!I10="",2,'Plot Layout'!I10+1))</f>
        <v>0</v>
      </c>
      <c r="CC9">
        <f ca="1">INDIRECT("'Data 8'!CC"&amp;IF('Plot Layout'!I10="",2,'Plot Layout'!I10+1))</f>
        <v>0</v>
      </c>
      <c r="CD9">
        <f ca="1">INDIRECT("'Data 8'!CD"&amp;IF('Plot Layout'!I10="",2,'Plot Layout'!I10+1))</f>
        <v>0</v>
      </c>
      <c r="CE9">
        <f ca="1">INDIRECT("'Data 8'!CE"&amp;IF('Plot Layout'!I10="",2,'Plot Layout'!I10+1))</f>
        <v>0</v>
      </c>
      <c r="CF9">
        <f ca="1">INDIRECT("'Data 8'!CF"&amp;IF('Plot Layout'!I10="",2,'Plot Layout'!I10+1))</f>
        <v>0</v>
      </c>
      <c r="CG9">
        <f ca="1">INDIRECT("'Data 8'!CG"&amp;IF('Plot Layout'!I10="",2,'Plot Layout'!I10+1))</f>
        <v>0</v>
      </c>
      <c r="CH9">
        <f ca="1">INDIRECT("'Data 8'!CH"&amp;IF('Plot Layout'!I10="",2,'Plot Layout'!I10+1))</f>
        <v>0</v>
      </c>
      <c r="CI9">
        <f ca="1">INDIRECT("'Data 8'!CI"&amp;IF('Plot Layout'!I10="",2,'Plot Layout'!I10+1))</f>
        <v>0</v>
      </c>
      <c r="CJ9">
        <f ca="1">INDIRECT("'Data 8'!CJ"&amp;IF('Plot Layout'!I10="",2,'Plot Layout'!I10+1))</f>
        <v>0</v>
      </c>
      <c r="CK9">
        <f ca="1">INDIRECT("'Data 8'!CK"&amp;IF('Plot Layout'!I10="",2,'Plot Layout'!I10+1))</f>
        <v>0</v>
      </c>
      <c r="CL9">
        <f ca="1">INDIRECT("'Data 8'!CL"&amp;IF('Plot Layout'!I10="",2,'Plot Layout'!I10+1))</f>
        <v>0</v>
      </c>
      <c r="CM9">
        <f ca="1">INDIRECT("'Data 8'!CM"&amp;IF('Plot Layout'!I10="",2,'Plot Layout'!I10+1))</f>
        <v>0</v>
      </c>
      <c r="CN9">
        <f ca="1">INDIRECT("'Data 8'!CN"&amp;IF('Plot Layout'!I10="",2,'Plot Layout'!I10+1))</f>
        <v>0</v>
      </c>
      <c r="CO9">
        <f ca="1">INDIRECT("'Data 8'!CO"&amp;IF('Plot Layout'!I10="",2,'Plot Layout'!I10+1))</f>
        <v>0</v>
      </c>
      <c r="CP9">
        <f ca="1">INDIRECT("'Data 8'!CP"&amp;IF('Plot Layout'!I10="",2,'Plot Layout'!I10+1))</f>
        <v>0</v>
      </c>
      <c r="CQ9">
        <f ca="1">INDIRECT("'Data 8'!CQ"&amp;IF('Plot Layout'!I10="",2,'Plot Layout'!I10+1))</f>
        <v>0</v>
      </c>
      <c r="CR9">
        <f ca="1">INDIRECT("'Data 8'!CR"&amp;IF('Plot Layout'!I10="",2,'Plot Layout'!I10+1))</f>
        <v>0</v>
      </c>
      <c r="CS9">
        <f ca="1">INDIRECT("'Data 8'!CS"&amp;IF('Plot Layout'!I10="",2,'Plot Layout'!I10+1))</f>
        <v>0</v>
      </c>
      <c r="CT9">
        <f ca="1">INDIRECT("'Data 8'!CT"&amp;IF('Plot Layout'!I10="",2,'Plot Layout'!I10+1))</f>
        <v>0</v>
      </c>
      <c r="CU9">
        <f ca="1">INDIRECT("'Data 8'!CU"&amp;IF('Plot Layout'!I10="",2,'Plot Layout'!I10+1))</f>
        <v>0</v>
      </c>
      <c r="CV9">
        <f ca="1">INDIRECT("'Data 8'!CV"&amp;IF('Plot Layout'!I10="",2,'Plot Layout'!I10+1))</f>
        <v>0</v>
      </c>
      <c r="CW9">
        <f ca="1">INDIRECT("'Data 8'!CW"&amp;IF('Plot Layout'!I10="",2,'Plot Layout'!I10+1))</f>
        <v>0</v>
      </c>
      <c r="CX9">
        <f ca="1">INDIRECT("'Data 8'!CX"&amp;IF('Plot Layout'!I10="",2,'Plot Layout'!I10+1))</f>
        <v>0</v>
      </c>
      <c r="CY9">
        <f ca="1">INDIRECT("'Data 8'!CY"&amp;IF('Plot Layout'!I10="",2,'Plot Layout'!I10+1))</f>
        <v>0</v>
      </c>
      <c r="CZ9">
        <f ca="1">INDIRECT("'Data 8'!CZ"&amp;IF('Plot Layout'!I10="",2,'Plot Layout'!I10+1))</f>
        <v>0</v>
      </c>
      <c r="DA9">
        <f ca="1">INDIRECT("'Data 8'!DA"&amp;IF('Plot Layout'!I10="",2,'Plot Layout'!I10+1))</f>
        <v>0</v>
      </c>
      <c r="DB9">
        <f ca="1">INDIRECT("'Data 8'!DB"&amp;IF('Plot Layout'!I10="",2,'Plot Layout'!I10+1))</f>
        <v>0</v>
      </c>
      <c r="DC9">
        <f ca="1">INDIRECT("'Data 8'!DC"&amp;IF('Plot Layout'!I10="",2,'Plot Layout'!I10+1))</f>
        <v>0</v>
      </c>
      <c r="DD9">
        <f ca="1">INDIRECT("'Data 8'!DD"&amp;IF('Plot Layout'!I10="",2,'Plot Layout'!I10+1))</f>
        <v>0</v>
      </c>
      <c r="DE9">
        <f ca="1">INDIRECT("'Data 8'!DE"&amp;IF('Plot Layout'!I10="",2,'Plot Layout'!I10+1))</f>
        <v>0</v>
      </c>
      <c r="DF9">
        <f ca="1">INDIRECT("'Data 8'!DF"&amp;IF('Plot Layout'!I10="",2,'Plot Layout'!I10+1))</f>
        <v>0</v>
      </c>
      <c r="DG9">
        <f ca="1">INDIRECT("'Data 8'!DG"&amp;IF('Plot Layout'!I10="",2,'Plot Layout'!I10+1))</f>
        <v>0</v>
      </c>
      <c r="DH9">
        <f ca="1">INDIRECT("'Data 8'!DH"&amp;IF('Plot Layout'!I10="",2,'Plot Layout'!I10+1))</f>
        <v>0</v>
      </c>
      <c r="DI9">
        <f ca="1">INDIRECT("'Data 8'!DI"&amp;IF('Plot Layout'!I10="",2,'Plot Layout'!I10+1))</f>
        <v>0</v>
      </c>
      <c r="DJ9">
        <f ca="1">INDIRECT("'Data 8'!DJ"&amp;IF('Plot Layout'!I10="",2,'Plot Layout'!I10+1))</f>
        <v>0</v>
      </c>
      <c r="DK9">
        <f ca="1">INDIRECT("'Data 8'!DK"&amp;IF('Plot Layout'!I10="",2,'Plot Layout'!I10+1))</f>
        <v>0</v>
      </c>
      <c r="DL9">
        <f ca="1">INDIRECT("'Data 8'!DL"&amp;IF('Plot Layout'!I10="",2,'Plot Layout'!I10+1))</f>
        <v>0</v>
      </c>
      <c r="DM9">
        <f ca="1">INDIRECT("'Data 8'!DM"&amp;IF('Plot Layout'!I10="",2,'Plot Layout'!I10+1))</f>
        <v>0</v>
      </c>
      <c r="DN9">
        <f ca="1">INDIRECT("'Data 8'!DN"&amp;IF('Plot Layout'!I10="",2,'Plot Layout'!I10+1))</f>
        <v>0</v>
      </c>
      <c r="DO9">
        <f ca="1">INDIRECT("'Data 8'!DO"&amp;IF('Plot Layout'!I10="",2,'Plot Layout'!I10+1))</f>
        <v>0</v>
      </c>
      <c r="DP9">
        <f ca="1">INDIRECT("'Data 8'!DP"&amp;IF('Plot Layout'!I10="",2,'Plot Layout'!I10+1))</f>
        <v>0</v>
      </c>
      <c r="DQ9">
        <f ca="1">INDIRECT("'Data 8'!DQ"&amp;IF('Plot Layout'!I10="",2,'Plot Layout'!I10+1))</f>
        <v>0</v>
      </c>
      <c r="DR9">
        <f ca="1">INDIRECT("'Data 8'!DR"&amp;IF('Plot Layout'!I10="",2,'Plot Layout'!I10+1))</f>
        <v>0</v>
      </c>
      <c r="DS9">
        <f ca="1">INDIRECT("'Data 8'!DS"&amp;IF('Plot Layout'!I10="",2,'Plot Layout'!I10+1))</f>
        <v>0</v>
      </c>
      <c r="DT9">
        <f ca="1">INDIRECT("'Data 8'!DT"&amp;IF('Plot Layout'!I10="",2,'Plot Layout'!I10+1))</f>
        <v>0</v>
      </c>
      <c r="DU9">
        <f ca="1">INDIRECT("'Data 8'!DU"&amp;IF('Plot Layout'!I10="",2,'Plot Layout'!I10+1))</f>
        <v>0</v>
      </c>
      <c r="DV9">
        <f ca="1">INDIRECT("'Data 8'!DV"&amp;IF('Plot Layout'!I10="",2,'Plot Layout'!I10+1))</f>
        <v>0</v>
      </c>
      <c r="DW9">
        <f ca="1">INDIRECT("'Data 8'!DW"&amp;IF('Plot Layout'!I10="",2,'Plot Layout'!I10+1))</f>
        <v>0</v>
      </c>
      <c r="DX9">
        <f ca="1">INDIRECT("'Data 8'!DX"&amp;IF('Plot Layout'!I10="",2,'Plot Layout'!I10+1))</f>
        <v>0</v>
      </c>
      <c r="DY9">
        <f ca="1">INDIRECT("'Data 8'!DY"&amp;IF('Plot Layout'!I10="",2,'Plot Layout'!I10+1))</f>
        <v>0</v>
      </c>
      <c r="DZ9">
        <f ca="1">INDIRECT("'Data 8'!DZ"&amp;IF('Plot Layout'!I10="",2,'Plot Layout'!I10+1))</f>
        <v>0</v>
      </c>
      <c r="EA9">
        <f ca="1">INDIRECT("'Data 8'!EA"&amp;IF('Plot Layout'!I10="",2,'Plot Layout'!I10+1))</f>
        <v>0</v>
      </c>
      <c r="EB9">
        <f ca="1">INDIRECT("'Data 8'!EB"&amp;IF('Plot Layout'!I10="",2,'Plot Layout'!I10+1))</f>
        <v>0</v>
      </c>
      <c r="EC9">
        <f ca="1">INDIRECT("'Data 8'!EC"&amp;IF('Plot Layout'!I10="",2,'Plot Layout'!I10+1))</f>
        <v>0</v>
      </c>
      <c r="ED9">
        <f ca="1">INDIRECT("'Data 8'!ED"&amp;IF('Plot Layout'!I10="",2,'Plot Layout'!I10+1))</f>
        <v>0</v>
      </c>
      <c r="EE9">
        <f ca="1">INDIRECT("'Data 8'!EE"&amp;IF('Plot Layout'!I10="",2,'Plot Layout'!I10+1))</f>
        <v>0</v>
      </c>
      <c r="EF9">
        <f ca="1">INDIRECT("'Data 8'!EF"&amp;IF('Plot Layout'!I10="",2,'Plot Layout'!I10+1))</f>
        <v>0</v>
      </c>
      <c r="EG9">
        <f ca="1">INDIRECT("'Data 8'!EG"&amp;IF('Plot Layout'!I10="",2,'Plot Layout'!I10+1))</f>
        <v>0</v>
      </c>
      <c r="EH9">
        <f ca="1">INDIRECT("'Data 8'!EH"&amp;IF('Plot Layout'!I10="",2,'Plot Layout'!I10+1))</f>
        <v>0</v>
      </c>
      <c r="EI9">
        <f ca="1">INDIRECT("'Data 8'!EI"&amp;IF('Plot Layout'!I10="",2,'Plot Layout'!I10+1))</f>
        <v>0</v>
      </c>
      <c r="EJ9">
        <f ca="1">INDIRECT("'Data 8'!EJ"&amp;IF('Plot Layout'!I10="",2,'Plot Layout'!I10+1))</f>
        <v>0</v>
      </c>
      <c r="EK9">
        <f ca="1">INDIRECT("'Data 8'!EK"&amp;IF('Plot Layout'!I10="",2,'Plot Layout'!I10+1))</f>
        <v>0</v>
      </c>
      <c r="EL9">
        <f ca="1">INDIRECT("'Data 8'!EL"&amp;IF('Plot Layout'!I10="",2,'Plot Layout'!I10+1))</f>
        <v>0</v>
      </c>
      <c r="EM9">
        <f ca="1">INDIRECT("'Data 8'!EM"&amp;IF('Plot Layout'!I10="",2,'Plot Layout'!I10+1))</f>
        <v>0</v>
      </c>
      <c r="EN9">
        <f ca="1">INDIRECT("'Data 8'!EN"&amp;IF('Plot Layout'!I10="",2,'Plot Layout'!I10+1))</f>
        <v>0</v>
      </c>
      <c r="EO9">
        <f ca="1">INDIRECT("'Data 8'!EO"&amp;IF('Plot Layout'!I10="",2,'Plot Layout'!I10+1))</f>
        <v>0</v>
      </c>
      <c r="EP9">
        <f ca="1">INDIRECT("'Data 8'!EP"&amp;IF('Plot Layout'!I10="",2,'Plot Layout'!I10+1))</f>
        <v>0</v>
      </c>
      <c r="EQ9">
        <f ca="1">INDIRECT("'Data 8'!EQ"&amp;IF('Plot Layout'!I10="",2,'Plot Layout'!I10+1))</f>
        <v>0</v>
      </c>
      <c r="ER9">
        <f ca="1">INDIRECT("'Data 8'!ER"&amp;IF('Plot Layout'!I10="",2,'Plot Layout'!I10+1))</f>
        <v>0</v>
      </c>
      <c r="ES9">
        <f ca="1">INDIRECT("'Data 8'!ES"&amp;IF('Plot Layout'!I10="",2,'Plot Layout'!I10+1))</f>
        <v>0</v>
      </c>
      <c r="ET9">
        <f ca="1">INDIRECT("'Data 8'!ET"&amp;IF('Plot Layout'!I10="",2,'Plot Layout'!I10+1))</f>
        <v>0</v>
      </c>
      <c r="EU9">
        <f ca="1">INDIRECT("'Data 8'!EU"&amp;IF('Plot Layout'!I10="",2,'Plot Layout'!I10+1))</f>
        <v>0</v>
      </c>
      <c r="EV9">
        <f ca="1">INDIRECT("'Data 8'!EV"&amp;IF('Plot Layout'!I10="",2,'Plot Layout'!I10+1))</f>
        <v>0</v>
      </c>
      <c r="EW9">
        <f ca="1">INDIRECT("'Data 8'!EW"&amp;IF('Plot Layout'!I10="",2,'Plot Layout'!I10+1))</f>
        <v>0</v>
      </c>
      <c r="EX9">
        <f ca="1">INDIRECT("'Data 8'!EX"&amp;IF('Plot Layout'!I10="",2,'Plot Layout'!I10+1))</f>
        <v>0</v>
      </c>
      <c r="EY9">
        <f ca="1">INDIRECT("'Data 8'!EY"&amp;IF('Plot Layout'!I10="",2,'Plot Layout'!I10+1))</f>
        <v>0</v>
      </c>
      <c r="EZ9">
        <f ca="1">INDIRECT("'Data 8'!EZ"&amp;IF('Plot Layout'!I10="",2,'Plot Layout'!I10+1))</f>
        <v>0</v>
      </c>
      <c r="FA9">
        <f ca="1">INDIRECT("'Data 8'!FA"&amp;IF('Plot Layout'!I10="",2,'Plot Layout'!I10+1))</f>
        <v>0</v>
      </c>
      <c r="FB9">
        <f ca="1">INDIRECT("'Data 8'!FB"&amp;IF('Plot Layout'!I10="",2,'Plot Layout'!I10+1))</f>
        <v>0</v>
      </c>
      <c r="FC9">
        <f ca="1">INDIRECT("'Data 8'!FC"&amp;IF('Plot Layout'!I10="",2,'Plot Layout'!I10+1))</f>
        <v>0</v>
      </c>
      <c r="FD9">
        <f ca="1">INDIRECT("'Data 8'!FD"&amp;IF('Plot Layout'!I10="",2,'Plot Layout'!I10+1))</f>
        <v>0</v>
      </c>
      <c r="FE9">
        <f ca="1">INDIRECT("'Data 8'!FE"&amp;IF('Plot Layout'!I10="",2,'Plot Layout'!I10+1))</f>
        <v>0</v>
      </c>
      <c r="FF9">
        <f ca="1">INDIRECT("'Data 8'!FF"&amp;IF('Plot Layout'!I10="",2,'Plot Layout'!I10+1))</f>
        <v>0</v>
      </c>
      <c r="FG9">
        <f ca="1">INDIRECT("'Data 8'!FG"&amp;IF('Plot Layout'!I10="",2,'Plot Layout'!I10+1))</f>
        <v>0</v>
      </c>
      <c r="FH9">
        <f ca="1">INDIRECT("'Data 8'!FH"&amp;IF('Plot Layout'!I10="",2,'Plot Layout'!I10+1))</f>
        <v>0</v>
      </c>
      <c r="FI9">
        <f ca="1">INDIRECT("'Data 8'!FI"&amp;IF('Plot Layout'!I10="",2,'Plot Layout'!I10+1))</f>
        <v>0</v>
      </c>
      <c r="FJ9">
        <f ca="1">INDIRECT("'Data 8'!FJ"&amp;IF('Plot Layout'!I10="",2,'Plot Layout'!I10+1))</f>
        <v>0</v>
      </c>
      <c r="FK9">
        <f ca="1">INDIRECT("'Data 8'!FK"&amp;IF('Plot Layout'!I10="",2,'Plot Layout'!I10+1))</f>
        <v>0</v>
      </c>
      <c r="FL9">
        <f ca="1">INDIRECT("'Data 8'!FL"&amp;IF('Plot Layout'!I10="",2,'Plot Layout'!I10+1))</f>
        <v>0</v>
      </c>
      <c r="FM9">
        <f ca="1">INDIRECT("'Data 8'!FM"&amp;IF('Plot Layout'!I10="",2,'Plot Layout'!I10+1))</f>
        <v>0</v>
      </c>
      <c r="FN9">
        <f ca="1">INDIRECT("'Data 8'!FN"&amp;IF('Plot Layout'!I10="",2,'Plot Layout'!I10+1))</f>
        <v>0</v>
      </c>
      <c r="FO9">
        <f ca="1">INDIRECT("'Data 8'!FO"&amp;IF('Plot Layout'!I10="",2,'Plot Layout'!I10+1))</f>
        <v>0</v>
      </c>
      <c r="FP9">
        <f ca="1">INDIRECT("'Data 8'!FP"&amp;IF('Plot Layout'!I10="",2,'Plot Layout'!I10+1))</f>
        <v>0</v>
      </c>
      <c r="FQ9">
        <f ca="1">INDIRECT("'Data 8'!FQ"&amp;IF('Plot Layout'!I10="",2,'Plot Layout'!I10+1))</f>
        <v>0</v>
      </c>
      <c r="FR9">
        <f ca="1">INDIRECT("'Data 8'!FR"&amp;IF('Plot Layout'!I10="",2,'Plot Layout'!I10+1))</f>
        <v>0</v>
      </c>
      <c r="FS9">
        <f ca="1">INDIRECT("'Data 8'!FS"&amp;IF('Plot Layout'!I10="",2,'Plot Layout'!I10+1))</f>
        <v>0</v>
      </c>
      <c r="FT9">
        <f ca="1">INDIRECT("'Data 8'!FT"&amp;IF('Plot Layout'!I10="",2,'Plot Layout'!I10+1))</f>
        <v>0</v>
      </c>
      <c r="FU9">
        <f ca="1">INDIRECT("'Data 8'!FU"&amp;IF('Plot Layout'!I10="",2,'Plot Layout'!I10+1))</f>
        <v>0</v>
      </c>
      <c r="FV9">
        <f ca="1">INDIRECT("'Data 8'!FV"&amp;IF('Plot Layout'!I10="",2,'Plot Layout'!I10+1))</f>
        <v>0</v>
      </c>
      <c r="FW9">
        <f ca="1">INDIRECT("'Data 8'!FW"&amp;IF('Plot Layout'!I10="",2,'Plot Layout'!I10+1))</f>
        <v>0</v>
      </c>
      <c r="FX9">
        <f ca="1">INDIRECT("'Data 8'!FX"&amp;IF('Plot Layout'!I10="",2,'Plot Layout'!I10+1))</f>
        <v>0</v>
      </c>
      <c r="FY9">
        <f ca="1">INDIRECT("'Data 8'!FY"&amp;IF('Plot Layout'!I10="",2,'Plot Layout'!I10+1))</f>
        <v>0</v>
      </c>
      <c r="FZ9">
        <f ca="1">INDIRECT("'Data 8'!FZ"&amp;IF('Plot Layout'!I10="",2,'Plot Layout'!I10+1))</f>
        <v>0</v>
      </c>
      <c r="GA9">
        <f ca="1">INDIRECT("'Data 8'!GA"&amp;IF('Plot Layout'!I10="",2,'Plot Layout'!I10+1))</f>
        <v>0</v>
      </c>
      <c r="GB9">
        <f ca="1">INDIRECT("'Data 8'!GB"&amp;IF('Plot Layout'!I10="",2,'Plot Layout'!I10+1))</f>
        <v>0</v>
      </c>
      <c r="GC9">
        <f ca="1">INDIRECT("'Data 8'!GC"&amp;IF('Plot Layout'!I10="",2,'Plot Layout'!I10+1))</f>
        <v>0</v>
      </c>
      <c r="GD9">
        <f ca="1">INDIRECT("'Data 8'!GD"&amp;IF('Plot Layout'!I10="",2,'Plot Layout'!I10+1))</f>
        <v>0</v>
      </c>
      <c r="GE9">
        <f ca="1">INDIRECT("'Data 8'!GE"&amp;IF('Plot Layout'!I10="",2,'Plot Layout'!I10+1))</f>
        <v>0</v>
      </c>
      <c r="GF9">
        <f ca="1">INDIRECT("'Data 8'!GF"&amp;IF('Plot Layout'!I10="",2,'Plot Layout'!I10+1))</f>
        <v>0</v>
      </c>
      <c r="GG9">
        <f ca="1">INDIRECT("'Data 8'!GG"&amp;IF('Plot Layout'!I10="",2,'Plot Layout'!I10+1))</f>
        <v>0</v>
      </c>
      <c r="GH9">
        <f ca="1">INDIRECT("'Data 8'!GH"&amp;IF('Plot Layout'!I10="",2,'Plot Layout'!I10+1))</f>
        <v>0</v>
      </c>
      <c r="GI9">
        <f ca="1">INDIRECT("'Data 8'!GI"&amp;IF('Plot Layout'!I10="",2,'Plot Layout'!I10+1))</f>
        <v>0</v>
      </c>
      <c r="GJ9">
        <f ca="1">INDIRECT("'Data 8'!GJ"&amp;IF('Plot Layout'!I10="",2,'Plot Layout'!I10+1))</f>
        <v>0</v>
      </c>
      <c r="GK9">
        <f ca="1">INDIRECT("'Data 8'!GK"&amp;IF('Plot Layout'!I10="",2,'Plot Layout'!I10+1))</f>
        <v>0</v>
      </c>
      <c r="GL9">
        <f ca="1">INDIRECT("'Data 8'!GL"&amp;IF('Plot Layout'!I10="",2,'Plot Layout'!I10+1))</f>
        <v>0</v>
      </c>
      <c r="GM9">
        <f ca="1">INDIRECT("'Data 8'!GM"&amp;IF('Plot Layout'!I10="",2,'Plot Layout'!I10+1))</f>
        <v>0</v>
      </c>
      <c r="GN9">
        <f ca="1">INDIRECT("'Data 8'!GN"&amp;IF('Plot Layout'!I10="",2,'Plot Layout'!I10+1))</f>
        <v>0</v>
      </c>
      <c r="GO9">
        <f ca="1">INDIRECT("'Data 8'!GO"&amp;IF('Plot Layout'!I10="",2,'Plot Layout'!I10+1))</f>
        <v>0</v>
      </c>
      <c r="GP9">
        <f ca="1">INDIRECT("'Data 8'!GP"&amp;IF('Plot Layout'!I10="",2,'Plot Layout'!I10+1))</f>
        <v>0</v>
      </c>
      <c r="GQ9">
        <f ca="1">INDIRECT("'Data 8'!GQ"&amp;IF('Plot Layout'!I10="",2,'Plot Layout'!I10+1))</f>
        <v>0</v>
      </c>
      <c r="GR9">
        <f ca="1">INDIRECT("'Data 8'!GR"&amp;IF('Plot Layout'!I10="",2,'Plot Layout'!I10+1))</f>
        <v>0</v>
      </c>
      <c r="GS9">
        <f ca="1">INDIRECT("'Data 8'!GS"&amp;IF('Plot Layout'!I10="",2,'Plot Layout'!I10+1))</f>
        <v>0</v>
      </c>
      <c r="GT9">
        <f ca="1">INDIRECT("'Data 8'!GT"&amp;IF('Plot Layout'!I10="",2,'Plot Layout'!I10+1))</f>
        <v>0</v>
      </c>
      <c r="GU9">
        <f ca="1">INDIRECT("'Data 8'!GU"&amp;IF('Plot Layout'!I10="",2,'Plot Layout'!I10+1))</f>
        <v>0</v>
      </c>
      <c r="GV9">
        <f ca="1">INDIRECT("'Data 8'!GV"&amp;IF('Plot Layout'!I10="",2,'Plot Layout'!I10+1))</f>
        <v>0</v>
      </c>
      <c r="GW9">
        <f ca="1">INDIRECT("'Data 8'!GW"&amp;IF('Plot Layout'!I10="",2,'Plot Layout'!I10+1))</f>
        <v>0</v>
      </c>
      <c r="GX9">
        <f ca="1">INDIRECT("'Data 8'!GX"&amp;IF('Plot Layout'!I10="",2,'Plot Layout'!I10+1))</f>
        <v>0</v>
      </c>
      <c r="GY9">
        <f ca="1">INDIRECT("'Data 8'!GY"&amp;IF('Plot Layout'!I10="",2,'Plot Layout'!I10+1))</f>
        <v>0</v>
      </c>
      <c r="GZ9">
        <f ca="1">INDIRECT("'Data 8'!GZ"&amp;IF('Plot Layout'!I10="",2,'Plot Layout'!I10+1))</f>
        <v>0</v>
      </c>
      <c r="HA9">
        <f ca="1">INDIRECT("'Data 8'!HA"&amp;IF('Plot Layout'!I10="",2,'Plot Layout'!I10+1))</f>
        <v>0</v>
      </c>
      <c r="HB9">
        <f ca="1">INDIRECT("'Data 8'!HB"&amp;IF('Plot Layout'!I10="",2,'Plot Layout'!I10+1))</f>
        <v>0</v>
      </c>
      <c r="HC9">
        <f ca="1">INDIRECT("'Data 8'!HC"&amp;IF('Plot Layout'!I10="",2,'Plot Layout'!I10+1))</f>
        <v>0</v>
      </c>
      <c r="HD9">
        <f ca="1">INDIRECT("'Data 8'!HD"&amp;IF('Plot Layout'!I10="",2,'Plot Layout'!I10+1))</f>
        <v>0</v>
      </c>
      <c r="HE9">
        <f ca="1">INDIRECT("'Data 8'!HE"&amp;IF('Plot Layout'!I10="",2,'Plot Layout'!I10+1))</f>
        <v>0</v>
      </c>
      <c r="HF9">
        <f ca="1">INDIRECT("'Data 8'!HF"&amp;IF('Plot Layout'!I10="",2,'Plot Layout'!I10+1))</f>
        <v>0</v>
      </c>
      <c r="HG9">
        <f ca="1">INDIRECT("'Data 8'!HG"&amp;IF('Plot Layout'!I10="",2,'Plot Layout'!I10+1))</f>
        <v>0</v>
      </c>
      <c r="HH9">
        <f ca="1">INDIRECT("'Data 8'!HH"&amp;IF('Plot Layout'!I10="",2,'Plot Layout'!I10+1))</f>
        <v>0</v>
      </c>
      <c r="HI9">
        <f ca="1">INDIRECT("'Data 8'!HI"&amp;IF('Plot Layout'!I10="",2,'Plot Layout'!I10+1))</f>
        <v>0</v>
      </c>
      <c r="HJ9">
        <f ca="1">INDIRECT("'Data 8'!HJ"&amp;IF('Plot Layout'!I10="",2,'Plot Layout'!I10+1))</f>
        <v>0</v>
      </c>
      <c r="HK9">
        <f ca="1">INDIRECT("'Data 8'!HK"&amp;IF('Plot Layout'!I10="",2,'Plot Layout'!I10+1))</f>
        <v>0</v>
      </c>
      <c r="HL9">
        <f ca="1">INDIRECT("'Data 8'!HL"&amp;IF('Plot Layout'!I10="",2,'Plot Layout'!I10+1))</f>
        <v>0</v>
      </c>
      <c r="HM9">
        <f ca="1">INDIRECT("'Data 8'!HM"&amp;IF('Plot Layout'!I10="",2,'Plot Layout'!I10+1))</f>
        <v>0</v>
      </c>
      <c r="HN9">
        <f ca="1">INDIRECT("'Data 8'!HN"&amp;IF('Plot Layout'!I10="",2,'Plot Layout'!I10+1))</f>
        <v>0</v>
      </c>
      <c r="HO9">
        <f ca="1">INDIRECT("'Data 8'!HO"&amp;IF('Plot Layout'!I10="",2,'Plot Layout'!I10+1))</f>
        <v>0</v>
      </c>
      <c r="HP9">
        <f ca="1">INDIRECT("'Data 8'!HP"&amp;IF('Plot Layout'!I10="",2,'Plot Layout'!I10+1))</f>
        <v>0</v>
      </c>
      <c r="HQ9">
        <f ca="1">INDIRECT("'Data 8'!HQ"&amp;IF('Plot Layout'!I10="",2,'Plot Layout'!I10+1))</f>
        <v>0</v>
      </c>
      <c r="HR9">
        <f ca="1">INDIRECT("'Data 8'!HR"&amp;IF('Plot Layout'!I10="",2,'Plot Layout'!I10+1))</f>
        <v>0</v>
      </c>
      <c r="HS9">
        <f ca="1">INDIRECT("'Data 8'!HS"&amp;IF('Plot Layout'!I10="",2,'Plot Layout'!I10+1))</f>
        <v>0</v>
      </c>
      <c r="HT9">
        <f ca="1">INDIRECT("'Data 8'!HT"&amp;IF('Plot Layout'!I10="",2,'Plot Layout'!I10+1))</f>
        <v>0</v>
      </c>
      <c r="HU9">
        <f ca="1">INDIRECT("'Data 8'!HU"&amp;IF('Plot Layout'!I10="",2,'Plot Layout'!I10+1))</f>
        <v>0</v>
      </c>
      <c r="HV9">
        <f ca="1">INDIRECT("'Data 8'!HV"&amp;IF('Plot Layout'!I10="",2,'Plot Layout'!I10+1))</f>
        <v>0</v>
      </c>
      <c r="HW9">
        <f ca="1">INDIRECT("'Data 8'!HW"&amp;IF('Plot Layout'!I10="",2,'Plot Layout'!I10+1))</f>
        <v>0</v>
      </c>
      <c r="HX9">
        <f ca="1">INDIRECT("'Data 8'!HX"&amp;IF('Plot Layout'!I10="",2,'Plot Layout'!I10+1))</f>
        <v>0</v>
      </c>
      <c r="HY9">
        <f ca="1">INDIRECT("'Data 8'!HY"&amp;IF('Plot Layout'!I10="",2,'Plot Layout'!I10+1))</f>
        <v>0</v>
      </c>
      <c r="HZ9">
        <f ca="1">INDIRECT("'Data 8'!HZ"&amp;IF('Plot Layout'!I10="",2,'Plot Layout'!I10+1))</f>
        <v>0</v>
      </c>
      <c r="IA9">
        <f ca="1">INDIRECT("'Data 8'!IA"&amp;IF('Plot Layout'!I10="",2,'Plot Layout'!I10+1))</f>
        <v>0</v>
      </c>
      <c r="IB9">
        <f ca="1">INDIRECT("'Data 8'!IB"&amp;IF('Plot Layout'!I10="",2,'Plot Layout'!I10+1))</f>
        <v>0</v>
      </c>
      <c r="IC9">
        <f ca="1">INDIRECT("'Data 8'!IC"&amp;IF('Plot Layout'!I10="",2,'Plot Layout'!I10+1))</f>
        <v>0</v>
      </c>
      <c r="ID9">
        <f ca="1">INDIRECT("'Data 8'!ID"&amp;IF('Plot Layout'!I10="",2,'Plot Layout'!I10+1))</f>
        <v>0</v>
      </c>
      <c r="IE9">
        <f ca="1">INDIRECT("'Data 8'!IE"&amp;IF('Plot Layout'!I10="",2,'Plot Layout'!I10+1))</f>
        <v>0</v>
      </c>
      <c r="IF9">
        <f ca="1">INDIRECT("'Data 8'!IF"&amp;IF('Plot Layout'!I10="",2,'Plot Layout'!I10+1))</f>
        <v>0</v>
      </c>
      <c r="IG9">
        <f ca="1">INDIRECT("'Data 8'!IG"&amp;IF('Plot Layout'!I10="",2,'Plot Layout'!I10+1))</f>
        <v>0</v>
      </c>
      <c r="IH9">
        <f ca="1">INDIRECT("'Data 8'!IH"&amp;IF('Plot Layout'!I10="",2,'Plot Layout'!I10+1))</f>
        <v>0</v>
      </c>
      <c r="II9">
        <f ca="1">INDIRECT("'Data 8'!II"&amp;IF('Plot Layout'!I10="",2,'Plot Layout'!I10+1))</f>
        <v>0</v>
      </c>
      <c r="IJ9">
        <f ca="1">INDIRECT("'Data 8'!IJ"&amp;IF('Plot Layout'!I10="",2,'Plot Layout'!I10+1))</f>
        <v>0</v>
      </c>
      <c r="IK9">
        <f ca="1">INDIRECT("'Data 8'!IK"&amp;IF('Plot Layout'!I10="",2,'Plot Layout'!I10+1))</f>
        <v>0</v>
      </c>
      <c r="IL9">
        <f ca="1">INDIRECT("'Data 8'!IL"&amp;IF('Plot Layout'!I10="",2,'Plot Layout'!I10+1))</f>
        <v>0</v>
      </c>
      <c r="IM9">
        <f ca="1">INDIRECT("'Data 8'!IM"&amp;IF('Plot Layout'!I10="",2,'Plot Layout'!I10+1))</f>
        <v>0</v>
      </c>
      <c r="IN9">
        <f ca="1">INDIRECT("'Data 8'!IN"&amp;IF('Plot Layout'!I10="",2,'Plot Layout'!I10+1))</f>
        <v>0</v>
      </c>
      <c r="IO9">
        <f ca="1">INDIRECT("'Data 8'!IO"&amp;IF('Plot Layout'!I10="",2,'Plot Layout'!I10+1))</f>
        <v>0</v>
      </c>
      <c r="IP9">
        <f ca="1">INDIRECT("'Data 8'!IP"&amp;IF('Plot Layout'!I10="",2,'Plot Layout'!I10+1))</f>
        <v>0</v>
      </c>
      <c r="IQ9">
        <f ca="1">INDIRECT("'Data 8'!IQ"&amp;IF('Plot Layout'!I10="",2,'Plot Layout'!I10+1))</f>
        <v>0</v>
      </c>
      <c r="IR9">
        <f ca="1">INDIRECT("'Data 8'!IR"&amp;IF('Plot Layout'!I10="",2,'Plot Layout'!I10+1))</f>
        <v>0</v>
      </c>
      <c r="IS9">
        <f ca="1">INDIRECT("'Data 8'!IS"&amp;IF('Plot Layout'!I10="",2,'Plot Layout'!I10+1))</f>
        <v>0</v>
      </c>
      <c r="IT9">
        <f ca="1">INDIRECT("'Data 8'!IT"&amp;IF('Plot Layout'!I10="",2,'Plot Layout'!I10+1))</f>
        <v>0</v>
      </c>
      <c r="IU9">
        <f ca="1">INDIRECT("'Data 8'!IU"&amp;IF('Plot Layout'!I10="",2,'Plot Layout'!I10+1))</f>
        <v>0</v>
      </c>
      <c r="IV9">
        <f ca="1">INDIRECT("'Data 8'!IV"&amp;IF('Plot Layout'!I10="",2,'Plot Layout'!I10+1))</f>
        <v>0</v>
      </c>
    </row>
    <row r="10" spans="1:256">
      <c r="A10">
        <f ca="1">INDIRECT("'Data 9'!A"&amp;IF('Plot Layout'!J10="",2,'Plot Layout'!J10+1))</f>
        <v>60</v>
      </c>
      <c r="B10">
        <f ca="1">INDIRECT("'Data 9'!B"&amp;IF('Plot Layout'!J10="",2,'Plot Layout'!J10+1))</f>
        <v>1</v>
      </c>
      <c r="C10" t="str">
        <f ca="1">INDIRECT("'Data 9'!C"&amp;IF('Plot Layout'!J10="",2,'Plot Layout'!J10+1))</f>
        <v>65-(12)12</v>
      </c>
      <c r="D10">
        <f ca="1">INDIRECT("'Data 9'!D"&amp;IF('Plot Layout'!J10="",2,'Plot Layout'!J10+1))</f>
        <v>0.01</v>
      </c>
      <c r="E10">
        <f ca="1">INDIRECT("'Data 9'!E"&amp;IF('Plot Layout'!J10="",2,'Plot Layout'!J10+1))</f>
        <v>1.5E-3</v>
      </c>
      <c r="F10">
        <f ca="1">INDIRECT("'Data 9'!F"&amp;IF('Plot Layout'!J10="",2,'Plot Layout'!J10+1))</f>
        <v>0.12</v>
      </c>
      <c r="G10">
        <f ca="1">INDIRECT("'Data 9'!G"&amp;IF('Plot Layout'!J10="",2,'Plot Layout'!J10+1))</f>
        <v>12</v>
      </c>
      <c r="H10">
        <f ca="1">INDIRECT("'Data 9'!H"&amp;IF('Plot Layout'!J10="",2,'Plot Layout'!J10+1))</f>
        <v>0</v>
      </c>
      <c r="I10">
        <f ca="1">INDIRECT("'Data 9'!I"&amp;IF('Plot Layout'!J10="",2,'Plot Layout'!J10+1))</f>
        <v>13.8</v>
      </c>
      <c r="J10">
        <f ca="1">INDIRECT("'Data 9'!J"&amp;IF('Plot Layout'!J10="",2,'Plot Layout'!J10+1))</f>
        <v>28.4</v>
      </c>
      <c r="K10">
        <f ca="1">INDIRECT("'Data 9'!K"&amp;IF('Plot Layout'!J10="",2,'Plot Layout'!J10+1))</f>
        <v>27.2</v>
      </c>
      <c r="L10">
        <f ca="1">INDIRECT("'Data 9'!L"&amp;IF('Plot Layout'!J10="",2,'Plot Layout'!J10+1))</f>
        <v>18.7</v>
      </c>
      <c r="M10">
        <f ca="1">INDIRECT("'Data 9'!M"&amp;IF('Plot Layout'!J10="",2,'Plot Layout'!J10+1))</f>
        <v>0.499</v>
      </c>
      <c r="N10">
        <f ca="1">INDIRECT("'Data 9'!N"&amp;IF('Plot Layout'!J10="",2,'Plot Layout'!J10+1))</f>
        <v>1.173</v>
      </c>
      <c r="O10">
        <f ca="1">INDIRECT("'Data 9'!O"&amp;IF('Plot Layout'!J10="",2,'Plot Layout'!J10+1))</f>
        <v>6</v>
      </c>
      <c r="P10">
        <f ca="1">INDIRECT("'Data 9'!P"&amp;IF('Plot Layout'!J10="",2,'Plot Layout'!J10+1))</f>
        <v>11</v>
      </c>
      <c r="Q10">
        <f ca="1">INDIRECT("'Data 9'!Q"&amp;IF('Plot Layout'!J10="",2,'Plot Layout'!J10+1))</f>
        <v>1.55E-2</v>
      </c>
      <c r="R10">
        <f ca="1">INDIRECT("'Data 9'!R"&amp;IF('Plot Layout'!J10="",2,'Plot Layout'!J10+1))</f>
        <v>0</v>
      </c>
      <c r="S10">
        <f ca="1">INDIRECT("'Data 9'!S"&amp;IF('Plot Layout'!J10="",2,'Plot Layout'!J10+1))</f>
        <v>0</v>
      </c>
      <c r="T10">
        <f ca="1">INDIRECT("'Data 9'!T"&amp;IF('Plot Layout'!J10="",2,'Plot Layout'!J10+1))</f>
        <v>0</v>
      </c>
      <c r="U10">
        <f ca="1">INDIRECT("'Data 9'!U"&amp;IF('Plot Layout'!J10="",2,'Plot Layout'!J10+1))</f>
        <v>0</v>
      </c>
      <c r="V10">
        <f ca="1">INDIRECT("'Data 9'!V"&amp;IF('Plot Layout'!J10="",2,'Plot Layout'!J10+1))</f>
        <v>0</v>
      </c>
      <c r="W10">
        <f ca="1">INDIRECT("'Data 9'!W"&amp;IF('Plot Layout'!J10="",2,'Plot Layout'!J10+1))</f>
        <v>0</v>
      </c>
      <c r="X10">
        <f ca="1">INDIRECT("'Data 9'!X"&amp;IF('Plot Layout'!J10="",2,'Plot Layout'!J10+1))</f>
        <v>0</v>
      </c>
      <c r="Y10">
        <f ca="1">INDIRECT("'Data 9'!Y"&amp;IF('Plot Layout'!J10="",2,'Plot Layout'!J10+1))</f>
        <v>0</v>
      </c>
      <c r="Z10">
        <f ca="1">INDIRECT("'Data 9'!Z"&amp;IF('Plot Layout'!J10="",2,'Plot Layout'!J10+1))</f>
        <v>0</v>
      </c>
      <c r="AA10">
        <f ca="1">INDIRECT("'Data 9'!AA"&amp;IF('Plot Layout'!J10="",2,'Plot Layout'!J10+1))</f>
        <v>0</v>
      </c>
      <c r="AB10">
        <f ca="1">INDIRECT("'Data 9'!AB"&amp;IF('Plot Layout'!J10="",2,'Plot Layout'!J10+1))</f>
        <v>0</v>
      </c>
      <c r="AC10">
        <f ca="1">INDIRECT("'Data 9'!AC"&amp;IF('Plot Layout'!J10="",2,'Plot Layout'!J10+1))</f>
        <v>0</v>
      </c>
      <c r="AD10">
        <f ca="1">INDIRECT("'Data 9'!AD"&amp;IF('Plot Layout'!J10="",2,'Plot Layout'!J10+1))</f>
        <v>0</v>
      </c>
      <c r="AE10">
        <f ca="1">INDIRECT("'Data 9'!AE"&amp;IF('Plot Layout'!J10="",2,'Plot Layout'!J10+1))</f>
        <v>0</v>
      </c>
      <c r="AF10">
        <f ca="1">INDIRECT("'Data 9'!AF"&amp;IF('Plot Layout'!J10="",2,'Plot Layout'!J10+1))</f>
        <v>0</v>
      </c>
      <c r="AG10">
        <f ca="1">INDIRECT("'Data 9'!AG"&amp;IF('Plot Layout'!J10="",2,'Plot Layout'!J10+1))</f>
        <v>0</v>
      </c>
      <c r="AH10">
        <f ca="1">INDIRECT("'Data 9'!AH"&amp;IF('Plot Layout'!J10="",2,'Plot Layout'!J10+1))</f>
        <v>0</v>
      </c>
      <c r="AI10">
        <f ca="1">INDIRECT("'Data 9'!AI"&amp;IF('Plot Layout'!J10="",2,'Plot Layout'!J10+1))</f>
        <v>0</v>
      </c>
      <c r="AJ10">
        <f ca="1">INDIRECT("'Data 9'!AJ"&amp;IF('Plot Layout'!J10="",2,'Plot Layout'!J10+1))</f>
        <v>0</v>
      </c>
      <c r="AK10">
        <f ca="1">INDIRECT("'Data 9'!AK"&amp;IF('Plot Layout'!J10="",2,'Plot Layout'!J10+1))</f>
        <v>0</v>
      </c>
      <c r="AL10">
        <f ca="1">INDIRECT("'Data 9'!AL"&amp;IF('Plot Layout'!J10="",2,'Plot Layout'!J10+1))</f>
        <v>0</v>
      </c>
      <c r="AM10">
        <f ca="1">INDIRECT("'Data 9'!AM"&amp;IF('Plot Layout'!J10="",2,'Plot Layout'!J10+1))</f>
        <v>0</v>
      </c>
      <c r="AN10">
        <f ca="1">INDIRECT("'Data 9'!AN"&amp;IF('Plot Layout'!J10="",2,'Plot Layout'!J10+1))</f>
        <v>0</v>
      </c>
      <c r="AO10">
        <f ca="1">INDIRECT("'Data 9'!AO"&amp;IF('Plot Layout'!J10="",2,'Plot Layout'!J10+1))</f>
        <v>0</v>
      </c>
      <c r="AP10">
        <f ca="1">INDIRECT("'Data 9'!AP"&amp;IF('Plot Layout'!J10="",2,'Plot Layout'!J10+1))</f>
        <v>0</v>
      </c>
      <c r="AQ10">
        <f ca="1">INDIRECT("'Data 9'!AQ"&amp;IF('Plot Layout'!J10="",2,'Plot Layout'!J10+1))</f>
        <v>0</v>
      </c>
      <c r="AR10">
        <f ca="1">INDIRECT("'Data 9'!AR"&amp;IF('Plot Layout'!J10="",2,'Plot Layout'!J10+1))</f>
        <v>0</v>
      </c>
      <c r="AS10">
        <f ca="1">INDIRECT("'Data 9'!AS"&amp;IF('Plot Layout'!J10="",2,'Plot Layout'!J10+1))</f>
        <v>0</v>
      </c>
      <c r="AT10">
        <f ca="1">INDIRECT("'Data 9'!AT"&amp;IF('Plot Layout'!J10="",2,'Plot Layout'!J10+1))</f>
        <v>0</v>
      </c>
      <c r="AU10">
        <f ca="1">INDIRECT("'Data 9'!AU"&amp;IF('Plot Layout'!J10="",2,'Plot Layout'!J10+1))</f>
        <v>0</v>
      </c>
      <c r="AV10">
        <f ca="1">INDIRECT("'Data 9'!AV"&amp;IF('Plot Layout'!J10="",2,'Plot Layout'!J10+1))</f>
        <v>0</v>
      </c>
      <c r="AW10">
        <f ca="1">INDIRECT("'Data 9'!AW"&amp;IF('Plot Layout'!J10="",2,'Plot Layout'!J10+1))</f>
        <v>0</v>
      </c>
      <c r="AX10">
        <f ca="1">INDIRECT("'Data 9'!AX"&amp;IF('Plot Layout'!J10="",2,'Plot Layout'!J10+1))</f>
        <v>0</v>
      </c>
      <c r="AY10">
        <f ca="1">INDIRECT("'Data 9'!AY"&amp;IF('Plot Layout'!J10="",2,'Plot Layout'!J10+1))</f>
        <v>0</v>
      </c>
      <c r="AZ10">
        <f ca="1">INDIRECT("'Data 9'!AZ"&amp;IF('Plot Layout'!J10="",2,'Plot Layout'!J10+1))</f>
        <v>0</v>
      </c>
      <c r="BA10">
        <f ca="1">INDIRECT("'Data 9'!BA"&amp;IF('Plot Layout'!J10="",2,'Plot Layout'!J10+1))</f>
        <v>0</v>
      </c>
      <c r="BB10">
        <f ca="1">INDIRECT("'Data 9'!BB"&amp;IF('Plot Layout'!J10="",2,'Plot Layout'!J10+1))</f>
        <v>0</v>
      </c>
      <c r="BC10">
        <f ca="1">INDIRECT("'Data 9'!BC"&amp;IF('Plot Layout'!J10="",2,'Plot Layout'!J10+1))</f>
        <v>0</v>
      </c>
      <c r="BD10">
        <f ca="1">INDIRECT("'Data 9'!BD"&amp;IF('Plot Layout'!J10="",2,'Plot Layout'!J10+1))</f>
        <v>0</v>
      </c>
      <c r="BE10">
        <f ca="1">INDIRECT("'Data 9'!BE"&amp;IF('Plot Layout'!J10="",2,'Plot Layout'!J10+1))</f>
        <v>0</v>
      </c>
      <c r="BF10">
        <f ca="1">INDIRECT("'Data 9'!BF"&amp;IF('Plot Layout'!J10="",2,'Plot Layout'!J10+1))</f>
        <v>0</v>
      </c>
      <c r="BG10">
        <f ca="1">INDIRECT("'Data 9'!BG"&amp;IF('Plot Layout'!J10="",2,'Plot Layout'!J10+1))</f>
        <v>0</v>
      </c>
      <c r="BH10">
        <f ca="1">INDIRECT("'Data 9'!BH"&amp;IF('Plot Layout'!J10="",2,'Plot Layout'!J10+1))</f>
        <v>0</v>
      </c>
      <c r="BI10">
        <f ca="1">INDIRECT("'Data 9'!BI"&amp;IF('Plot Layout'!J10="",2,'Plot Layout'!J10+1))</f>
        <v>0</v>
      </c>
      <c r="BJ10">
        <f ca="1">INDIRECT("'Data 9'!BJ"&amp;IF('Plot Layout'!J10="",2,'Plot Layout'!J10+1))</f>
        <v>0</v>
      </c>
      <c r="BK10">
        <f ca="1">INDIRECT("'Data 9'!BK"&amp;IF('Plot Layout'!J10="",2,'Plot Layout'!J10+1))</f>
        <v>0</v>
      </c>
      <c r="BL10">
        <f ca="1">INDIRECT("'Data 9'!BL"&amp;IF('Plot Layout'!J10="",2,'Plot Layout'!J10+1))</f>
        <v>0</v>
      </c>
      <c r="BM10">
        <f ca="1">INDIRECT("'Data 9'!BM"&amp;IF('Plot Layout'!J10="",2,'Plot Layout'!J10+1))</f>
        <v>0</v>
      </c>
      <c r="BN10">
        <f ca="1">INDIRECT("'Data 9'!BN"&amp;IF('Plot Layout'!J10="",2,'Plot Layout'!J10+1))</f>
        <v>0</v>
      </c>
      <c r="BO10">
        <f ca="1">INDIRECT("'Data 9'!BO"&amp;IF('Plot Layout'!J10="",2,'Plot Layout'!J10+1))</f>
        <v>0</v>
      </c>
      <c r="BP10">
        <f ca="1">INDIRECT("'Data 9'!BP"&amp;IF('Plot Layout'!J10="",2,'Plot Layout'!J10+1))</f>
        <v>0</v>
      </c>
      <c r="BQ10">
        <f ca="1">INDIRECT("'Data 9'!BQ"&amp;IF('Plot Layout'!J10="",2,'Plot Layout'!J10+1))</f>
        <v>0</v>
      </c>
      <c r="BR10">
        <f ca="1">INDIRECT("'Data 9'!BR"&amp;IF('Plot Layout'!J10="",2,'Plot Layout'!J10+1))</f>
        <v>0</v>
      </c>
      <c r="BS10">
        <f ca="1">INDIRECT("'Data 9'!BS"&amp;IF('Plot Layout'!J10="",2,'Plot Layout'!J10+1))</f>
        <v>0</v>
      </c>
      <c r="BT10">
        <f ca="1">INDIRECT("'Data 9'!BT"&amp;IF('Plot Layout'!J10="",2,'Plot Layout'!J10+1))</f>
        <v>0</v>
      </c>
      <c r="BU10">
        <f ca="1">INDIRECT("'Data 9'!BU"&amp;IF('Plot Layout'!J10="",2,'Plot Layout'!J10+1))</f>
        <v>0</v>
      </c>
      <c r="BV10">
        <f ca="1">INDIRECT("'Data 9'!BV"&amp;IF('Plot Layout'!J10="",2,'Plot Layout'!J10+1))</f>
        <v>0</v>
      </c>
      <c r="BW10">
        <f ca="1">INDIRECT("'Data 9'!BW"&amp;IF('Plot Layout'!J10="",2,'Plot Layout'!J10+1))</f>
        <v>0</v>
      </c>
      <c r="BX10">
        <f ca="1">INDIRECT("'Data 9'!BX"&amp;IF('Plot Layout'!J10="",2,'Plot Layout'!J10+1))</f>
        <v>0</v>
      </c>
      <c r="BY10">
        <f ca="1">INDIRECT("'Data 9'!BY"&amp;IF('Plot Layout'!J10="",2,'Plot Layout'!J10+1))</f>
        <v>0</v>
      </c>
      <c r="BZ10">
        <f ca="1">INDIRECT("'Data 9'!BZ"&amp;IF('Plot Layout'!J10="",2,'Plot Layout'!J10+1))</f>
        <v>0</v>
      </c>
      <c r="CA10">
        <f ca="1">INDIRECT("'Data 9'!CA"&amp;IF('Plot Layout'!J10="",2,'Plot Layout'!J10+1))</f>
        <v>0</v>
      </c>
      <c r="CB10">
        <f ca="1">INDIRECT("'Data 9'!CB"&amp;IF('Plot Layout'!J10="",2,'Plot Layout'!J10+1))</f>
        <v>0</v>
      </c>
      <c r="CC10">
        <f ca="1">INDIRECT("'Data 9'!CC"&amp;IF('Plot Layout'!J10="",2,'Plot Layout'!J10+1))</f>
        <v>0</v>
      </c>
      <c r="CD10">
        <f ca="1">INDIRECT("'Data 9'!CD"&amp;IF('Plot Layout'!J10="",2,'Plot Layout'!J10+1))</f>
        <v>0</v>
      </c>
      <c r="CE10">
        <f ca="1">INDIRECT("'Data 9'!CE"&amp;IF('Plot Layout'!J10="",2,'Plot Layout'!J10+1))</f>
        <v>0</v>
      </c>
      <c r="CF10">
        <f ca="1">INDIRECT("'Data 9'!CF"&amp;IF('Plot Layout'!J10="",2,'Plot Layout'!J10+1))</f>
        <v>0</v>
      </c>
      <c r="CG10">
        <f ca="1">INDIRECT("'Data 9'!CG"&amp;IF('Plot Layout'!J10="",2,'Plot Layout'!J10+1))</f>
        <v>0</v>
      </c>
      <c r="CH10">
        <f ca="1">INDIRECT("'Data 9'!CH"&amp;IF('Plot Layout'!J10="",2,'Plot Layout'!J10+1))</f>
        <v>0</v>
      </c>
      <c r="CI10">
        <f ca="1">INDIRECT("'Data 9'!CI"&amp;IF('Plot Layout'!J10="",2,'Plot Layout'!J10+1))</f>
        <v>0</v>
      </c>
      <c r="CJ10">
        <f ca="1">INDIRECT("'Data 9'!CJ"&amp;IF('Plot Layout'!J10="",2,'Plot Layout'!J10+1))</f>
        <v>0</v>
      </c>
      <c r="CK10">
        <f ca="1">INDIRECT("'Data 9'!CK"&amp;IF('Plot Layout'!J10="",2,'Plot Layout'!J10+1))</f>
        <v>0</v>
      </c>
      <c r="CL10">
        <f ca="1">INDIRECT("'Data 9'!CL"&amp;IF('Plot Layout'!J10="",2,'Plot Layout'!J10+1))</f>
        <v>0</v>
      </c>
      <c r="CM10">
        <f ca="1">INDIRECT("'Data 9'!CM"&amp;IF('Plot Layout'!J10="",2,'Plot Layout'!J10+1))</f>
        <v>0</v>
      </c>
      <c r="CN10">
        <f ca="1">INDIRECT("'Data 9'!CN"&amp;IF('Plot Layout'!J10="",2,'Plot Layout'!J10+1))</f>
        <v>0</v>
      </c>
      <c r="CO10">
        <f ca="1">INDIRECT("'Data 9'!CO"&amp;IF('Plot Layout'!J10="",2,'Plot Layout'!J10+1))</f>
        <v>0</v>
      </c>
      <c r="CP10">
        <f ca="1">INDIRECT("'Data 9'!CP"&amp;IF('Plot Layout'!J10="",2,'Plot Layout'!J10+1))</f>
        <v>0</v>
      </c>
      <c r="CQ10">
        <f ca="1">INDIRECT("'Data 9'!CQ"&amp;IF('Plot Layout'!J10="",2,'Plot Layout'!J10+1))</f>
        <v>0</v>
      </c>
      <c r="CR10">
        <f ca="1">INDIRECT("'Data 9'!CR"&amp;IF('Plot Layout'!J10="",2,'Plot Layout'!J10+1))</f>
        <v>0</v>
      </c>
      <c r="CS10">
        <f ca="1">INDIRECT("'Data 9'!CS"&amp;IF('Plot Layout'!J10="",2,'Plot Layout'!J10+1))</f>
        <v>0</v>
      </c>
      <c r="CT10">
        <f ca="1">INDIRECT("'Data 9'!CT"&amp;IF('Plot Layout'!J10="",2,'Plot Layout'!J10+1))</f>
        <v>0</v>
      </c>
      <c r="CU10">
        <f ca="1">INDIRECT("'Data 9'!CU"&amp;IF('Plot Layout'!J10="",2,'Plot Layout'!J10+1))</f>
        <v>0</v>
      </c>
      <c r="CV10">
        <f ca="1">INDIRECT("'Data 9'!CV"&amp;IF('Plot Layout'!J10="",2,'Plot Layout'!J10+1))</f>
        <v>0</v>
      </c>
      <c r="CW10">
        <f ca="1">INDIRECT("'Data 9'!CW"&amp;IF('Plot Layout'!J10="",2,'Plot Layout'!J10+1))</f>
        <v>0</v>
      </c>
      <c r="CX10">
        <f ca="1">INDIRECT("'Data 9'!CX"&amp;IF('Plot Layout'!J10="",2,'Plot Layout'!J10+1))</f>
        <v>0</v>
      </c>
      <c r="CY10">
        <f ca="1">INDIRECT("'Data 9'!CY"&amp;IF('Plot Layout'!J10="",2,'Plot Layout'!J10+1))</f>
        <v>0</v>
      </c>
      <c r="CZ10">
        <f ca="1">INDIRECT("'Data 9'!CZ"&amp;IF('Plot Layout'!J10="",2,'Plot Layout'!J10+1))</f>
        <v>0</v>
      </c>
      <c r="DA10">
        <f ca="1">INDIRECT("'Data 9'!DA"&amp;IF('Plot Layout'!J10="",2,'Plot Layout'!J10+1))</f>
        <v>0</v>
      </c>
      <c r="DB10">
        <f ca="1">INDIRECT("'Data 9'!DB"&amp;IF('Plot Layout'!J10="",2,'Plot Layout'!J10+1))</f>
        <v>0</v>
      </c>
      <c r="DC10">
        <f ca="1">INDIRECT("'Data 9'!DC"&amp;IF('Plot Layout'!J10="",2,'Plot Layout'!J10+1))</f>
        <v>0</v>
      </c>
      <c r="DD10">
        <f ca="1">INDIRECT("'Data 9'!DD"&amp;IF('Plot Layout'!J10="",2,'Plot Layout'!J10+1))</f>
        <v>0</v>
      </c>
      <c r="DE10">
        <f ca="1">INDIRECT("'Data 9'!DE"&amp;IF('Plot Layout'!J10="",2,'Plot Layout'!J10+1))</f>
        <v>0</v>
      </c>
      <c r="DF10">
        <f ca="1">INDIRECT("'Data 9'!DF"&amp;IF('Plot Layout'!J10="",2,'Plot Layout'!J10+1))</f>
        <v>0</v>
      </c>
      <c r="DG10">
        <f ca="1">INDIRECT("'Data 9'!DG"&amp;IF('Plot Layout'!J10="",2,'Plot Layout'!J10+1))</f>
        <v>0</v>
      </c>
      <c r="DH10">
        <f ca="1">INDIRECT("'Data 9'!DH"&amp;IF('Plot Layout'!J10="",2,'Plot Layout'!J10+1))</f>
        <v>0</v>
      </c>
      <c r="DI10">
        <f ca="1">INDIRECT("'Data 9'!DI"&amp;IF('Plot Layout'!J10="",2,'Plot Layout'!J10+1))</f>
        <v>0</v>
      </c>
      <c r="DJ10">
        <f ca="1">INDIRECT("'Data 9'!DJ"&amp;IF('Plot Layout'!J10="",2,'Plot Layout'!J10+1))</f>
        <v>0</v>
      </c>
      <c r="DK10">
        <f ca="1">INDIRECT("'Data 9'!DK"&amp;IF('Plot Layout'!J10="",2,'Plot Layout'!J10+1))</f>
        <v>0</v>
      </c>
      <c r="DL10">
        <f ca="1">INDIRECT("'Data 9'!DL"&amp;IF('Plot Layout'!J10="",2,'Plot Layout'!J10+1))</f>
        <v>0</v>
      </c>
      <c r="DM10">
        <f ca="1">INDIRECT("'Data 9'!DM"&amp;IF('Plot Layout'!J10="",2,'Plot Layout'!J10+1))</f>
        <v>0</v>
      </c>
      <c r="DN10">
        <f ca="1">INDIRECT("'Data 9'!DN"&amp;IF('Plot Layout'!J10="",2,'Plot Layout'!J10+1))</f>
        <v>0</v>
      </c>
      <c r="DO10">
        <f ca="1">INDIRECT("'Data 9'!DO"&amp;IF('Plot Layout'!J10="",2,'Plot Layout'!J10+1))</f>
        <v>0</v>
      </c>
      <c r="DP10">
        <f ca="1">INDIRECT("'Data 9'!DP"&amp;IF('Plot Layout'!J10="",2,'Plot Layout'!J10+1))</f>
        <v>0</v>
      </c>
      <c r="DQ10">
        <f ca="1">INDIRECT("'Data 9'!DQ"&amp;IF('Plot Layout'!J10="",2,'Plot Layout'!J10+1))</f>
        <v>0</v>
      </c>
      <c r="DR10">
        <f ca="1">INDIRECT("'Data 9'!DR"&amp;IF('Plot Layout'!J10="",2,'Plot Layout'!J10+1))</f>
        <v>0</v>
      </c>
      <c r="DS10">
        <f ca="1">INDIRECT("'Data 9'!DS"&amp;IF('Plot Layout'!J10="",2,'Plot Layout'!J10+1))</f>
        <v>0</v>
      </c>
      <c r="DT10">
        <f ca="1">INDIRECT("'Data 9'!DT"&amp;IF('Plot Layout'!J10="",2,'Plot Layout'!J10+1))</f>
        <v>0</v>
      </c>
      <c r="DU10">
        <f ca="1">INDIRECT("'Data 9'!DU"&amp;IF('Plot Layout'!J10="",2,'Plot Layout'!J10+1))</f>
        <v>0</v>
      </c>
      <c r="DV10">
        <f ca="1">INDIRECT("'Data 9'!DV"&amp;IF('Plot Layout'!J10="",2,'Plot Layout'!J10+1))</f>
        <v>0</v>
      </c>
      <c r="DW10">
        <f ca="1">INDIRECT("'Data 9'!DW"&amp;IF('Plot Layout'!J10="",2,'Plot Layout'!J10+1))</f>
        <v>0</v>
      </c>
      <c r="DX10">
        <f ca="1">INDIRECT("'Data 9'!DX"&amp;IF('Plot Layout'!J10="",2,'Plot Layout'!J10+1))</f>
        <v>0</v>
      </c>
      <c r="DY10">
        <f ca="1">INDIRECT("'Data 9'!DY"&amp;IF('Plot Layout'!J10="",2,'Plot Layout'!J10+1))</f>
        <v>0</v>
      </c>
      <c r="DZ10">
        <f ca="1">INDIRECT("'Data 9'!DZ"&amp;IF('Plot Layout'!J10="",2,'Plot Layout'!J10+1))</f>
        <v>0</v>
      </c>
      <c r="EA10">
        <f ca="1">INDIRECT("'Data 9'!EA"&amp;IF('Plot Layout'!J10="",2,'Plot Layout'!J10+1))</f>
        <v>0</v>
      </c>
      <c r="EB10">
        <f ca="1">INDIRECT("'Data 9'!EB"&amp;IF('Plot Layout'!J10="",2,'Plot Layout'!J10+1))</f>
        <v>0</v>
      </c>
      <c r="EC10">
        <f ca="1">INDIRECT("'Data 9'!EC"&amp;IF('Plot Layout'!J10="",2,'Plot Layout'!J10+1))</f>
        <v>0</v>
      </c>
      <c r="ED10">
        <f ca="1">INDIRECT("'Data 9'!ED"&amp;IF('Plot Layout'!J10="",2,'Plot Layout'!J10+1))</f>
        <v>0</v>
      </c>
      <c r="EE10">
        <f ca="1">INDIRECT("'Data 9'!EE"&amp;IF('Plot Layout'!J10="",2,'Plot Layout'!J10+1))</f>
        <v>0</v>
      </c>
      <c r="EF10">
        <f ca="1">INDIRECT("'Data 9'!EF"&amp;IF('Plot Layout'!J10="",2,'Plot Layout'!J10+1))</f>
        <v>0</v>
      </c>
      <c r="EG10">
        <f ca="1">INDIRECT("'Data 9'!EG"&amp;IF('Plot Layout'!J10="",2,'Plot Layout'!J10+1))</f>
        <v>0</v>
      </c>
      <c r="EH10">
        <f ca="1">INDIRECT("'Data 9'!EH"&amp;IF('Plot Layout'!J10="",2,'Plot Layout'!J10+1))</f>
        <v>0</v>
      </c>
      <c r="EI10">
        <f ca="1">INDIRECT("'Data 9'!EI"&amp;IF('Plot Layout'!J10="",2,'Plot Layout'!J10+1))</f>
        <v>0</v>
      </c>
      <c r="EJ10">
        <f ca="1">INDIRECT("'Data 9'!EJ"&amp;IF('Plot Layout'!J10="",2,'Plot Layout'!J10+1))</f>
        <v>0</v>
      </c>
      <c r="EK10">
        <f ca="1">INDIRECT("'Data 9'!EK"&amp;IF('Plot Layout'!J10="",2,'Plot Layout'!J10+1))</f>
        <v>0</v>
      </c>
      <c r="EL10">
        <f ca="1">INDIRECT("'Data 9'!EL"&amp;IF('Plot Layout'!J10="",2,'Plot Layout'!J10+1))</f>
        <v>0</v>
      </c>
      <c r="EM10">
        <f ca="1">INDIRECT("'Data 9'!EM"&amp;IF('Plot Layout'!J10="",2,'Plot Layout'!J10+1))</f>
        <v>0</v>
      </c>
      <c r="EN10">
        <f ca="1">INDIRECT("'Data 9'!EN"&amp;IF('Plot Layout'!J10="",2,'Plot Layout'!J10+1))</f>
        <v>0</v>
      </c>
      <c r="EO10">
        <f ca="1">INDIRECT("'Data 9'!EO"&amp;IF('Plot Layout'!J10="",2,'Plot Layout'!J10+1))</f>
        <v>0</v>
      </c>
      <c r="EP10">
        <f ca="1">INDIRECT("'Data 9'!EP"&amp;IF('Plot Layout'!J10="",2,'Plot Layout'!J10+1))</f>
        <v>0</v>
      </c>
      <c r="EQ10">
        <f ca="1">INDIRECT("'Data 9'!EQ"&amp;IF('Plot Layout'!J10="",2,'Plot Layout'!J10+1))</f>
        <v>0</v>
      </c>
      <c r="ER10">
        <f ca="1">INDIRECT("'Data 9'!ER"&amp;IF('Plot Layout'!J10="",2,'Plot Layout'!J10+1))</f>
        <v>0</v>
      </c>
      <c r="ES10">
        <f ca="1">INDIRECT("'Data 9'!ES"&amp;IF('Plot Layout'!J10="",2,'Plot Layout'!J10+1))</f>
        <v>0</v>
      </c>
      <c r="ET10">
        <f ca="1">INDIRECT("'Data 9'!ET"&amp;IF('Plot Layout'!J10="",2,'Plot Layout'!J10+1))</f>
        <v>0</v>
      </c>
      <c r="EU10">
        <f ca="1">INDIRECT("'Data 9'!EU"&amp;IF('Plot Layout'!J10="",2,'Plot Layout'!J10+1))</f>
        <v>0</v>
      </c>
      <c r="EV10">
        <f ca="1">INDIRECT("'Data 9'!EV"&amp;IF('Plot Layout'!J10="",2,'Plot Layout'!J10+1))</f>
        <v>0</v>
      </c>
      <c r="EW10">
        <f ca="1">INDIRECT("'Data 9'!EW"&amp;IF('Plot Layout'!J10="",2,'Plot Layout'!J10+1))</f>
        <v>0</v>
      </c>
      <c r="EX10">
        <f ca="1">INDIRECT("'Data 9'!EX"&amp;IF('Plot Layout'!J10="",2,'Plot Layout'!J10+1))</f>
        <v>0</v>
      </c>
      <c r="EY10">
        <f ca="1">INDIRECT("'Data 9'!EY"&amp;IF('Plot Layout'!J10="",2,'Plot Layout'!J10+1))</f>
        <v>0</v>
      </c>
      <c r="EZ10">
        <f ca="1">INDIRECT("'Data 9'!EZ"&amp;IF('Plot Layout'!J10="",2,'Plot Layout'!J10+1))</f>
        <v>0</v>
      </c>
      <c r="FA10">
        <f ca="1">INDIRECT("'Data 9'!FA"&amp;IF('Plot Layout'!J10="",2,'Plot Layout'!J10+1))</f>
        <v>0</v>
      </c>
      <c r="FB10">
        <f ca="1">INDIRECT("'Data 9'!FB"&amp;IF('Plot Layout'!J10="",2,'Plot Layout'!J10+1))</f>
        <v>0</v>
      </c>
      <c r="FC10">
        <f ca="1">INDIRECT("'Data 9'!FC"&amp;IF('Plot Layout'!J10="",2,'Plot Layout'!J10+1))</f>
        <v>0</v>
      </c>
      <c r="FD10">
        <f ca="1">INDIRECT("'Data 9'!FD"&amp;IF('Plot Layout'!J10="",2,'Plot Layout'!J10+1))</f>
        <v>0</v>
      </c>
      <c r="FE10">
        <f ca="1">INDIRECT("'Data 9'!FE"&amp;IF('Plot Layout'!J10="",2,'Plot Layout'!J10+1))</f>
        <v>0</v>
      </c>
      <c r="FF10">
        <f ca="1">INDIRECT("'Data 9'!FF"&amp;IF('Plot Layout'!J10="",2,'Plot Layout'!J10+1))</f>
        <v>0</v>
      </c>
      <c r="FG10">
        <f ca="1">INDIRECT("'Data 9'!FG"&amp;IF('Plot Layout'!J10="",2,'Plot Layout'!J10+1))</f>
        <v>0</v>
      </c>
      <c r="FH10">
        <f ca="1">INDIRECT("'Data 9'!FH"&amp;IF('Plot Layout'!J10="",2,'Plot Layout'!J10+1))</f>
        <v>0</v>
      </c>
      <c r="FI10">
        <f ca="1">INDIRECT("'Data 9'!FI"&amp;IF('Plot Layout'!J10="",2,'Plot Layout'!J10+1))</f>
        <v>0</v>
      </c>
      <c r="FJ10">
        <f ca="1">INDIRECT("'Data 9'!FJ"&amp;IF('Plot Layout'!J10="",2,'Plot Layout'!J10+1))</f>
        <v>0</v>
      </c>
      <c r="FK10">
        <f ca="1">INDIRECT("'Data 9'!FK"&amp;IF('Plot Layout'!J10="",2,'Plot Layout'!J10+1))</f>
        <v>0</v>
      </c>
      <c r="FL10">
        <f ca="1">INDIRECT("'Data 9'!FL"&amp;IF('Plot Layout'!J10="",2,'Plot Layout'!J10+1))</f>
        <v>0</v>
      </c>
      <c r="FM10">
        <f ca="1">INDIRECT("'Data 9'!FM"&amp;IF('Plot Layout'!J10="",2,'Plot Layout'!J10+1))</f>
        <v>0</v>
      </c>
      <c r="FN10">
        <f ca="1">INDIRECT("'Data 9'!FN"&amp;IF('Plot Layout'!J10="",2,'Plot Layout'!J10+1))</f>
        <v>0</v>
      </c>
      <c r="FO10">
        <f ca="1">INDIRECT("'Data 9'!FO"&amp;IF('Plot Layout'!J10="",2,'Plot Layout'!J10+1))</f>
        <v>0</v>
      </c>
      <c r="FP10">
        <f ca="1">INDIRECT("'Data 9'!FP"&amp;IF('Plot Layout'!J10="",2,'Plot Layout'!J10+1))</f>
        <v>0</v>
      </c>
      <c r="FQ10">
        <f ca="1">INDIRECT("'Data 9'!FQ"&amp;IF('Plot Layout'!J10="",2,'Plot Layout'!J10+1))</f>
        <v>0</v>
      </c>
      <c r="FR10">
        <f ca="1">INDIRECT("'Data 9'!FR"&amp;IF('Plot Layout'!J10="",2,'Plot Layout'!J10+1))</f>
        <v>0</v>
      </c>
      <c r="FS10">
        <f ca="1">INDIRECT("'Data 9'!FS"&amp;IF('Plot Layout'!J10="",2,'Plot Layout'!J10+1))</f>
        <v>0</v>
      </c>
      <c r="FT10">
        <f ca="1">INDIRECT("'Data 9'!FT"&amp;IF('Plot Layout'!J10="",2,'Plot Layout'!J10+1))</f>
        <v>0</v>
      </c>
      <c r="FU10">
        <f ca="1">INDIRECT("'Data 9'!FU"&amp;IF('Plot Layout'!J10="",2,'Plot Layout'!J10+1))</f>
        <v>0</v>
      </c>
      <c r="FV10">
        <f ca="1">INDIRECT("'Data 9'!FV"&amp;IF('Plot Layout'!J10="",2,'Plot Layout'!J10+1))</f>
        <v>0</v>
      </c>
      <c r="FW10">
        <f ca="1">INDIRECT("'Data 9'!FW"&amp;IF('Plot Layout'!J10="",2,'Plot Layout'!J10+1))</f>
        <v>0</v>
      </c>
      <c r="FX10">
        <f ca="1">INDIRECT("'Data 9'!FX"&amp;IF('Plot Layout'!J10="",2,'Plot Layout'!J10+1))</f>
        <v>0</v>
      </c>
      <c r="FY10">
        <f ca="1">INDIRECT("'Data 9'!FY"&amp;IF('Plot Layout'!J10="",2,'Plot Layout'!J10+1))</f>
        <v>0</v>
      </c>
      <c r="FZ10">
        <f ca="1">INDIRECT("'Data 9'!FZ"&amp;IF('Plot Layout'!J10="",2,'Plot Layout'!J10+1))</f>
        <v>0</v>
      </c>
      <c r="GA10">
        <f ca="1">INDIRECT("'Data 9'!GA"&amp;IF('Plot Layout'!J10="",2,'Plot Layout'!J10+1))</f>
        <v>0</v>
      </c>
      <c r="GB10">
        <f ca="1">INDIRECT("'Data 9'!GB"&amp;IF('Plot Layout'!J10="",2,'Plot Layout'!J10+1))</f>
        <v>0</v>
      </c>
      <c r="GC10">
        <f ca="1">INDIRECT("'Data 9'!GC"&amp;IF('Plot Layout'!J10="",2,'Plot Layout'!J10+1))</f>
        <v>0</v>
      </c>
      <c r="GD10">
        <f ca="1">INDIRECT("'Data 9'!GD"&amp;IF('Plot Layout'!J10="",2,'Plot Layout'!J10+1))</f>
        <v>0</v>
      </c>
      <c r="GE10">
        <f ca="1">INDIRECT("'Data 9'!GE"&amp;IF('Plot Layout'!J10="",2,'Plot Layout'!J10+1))</f>
        <v>0</v>
      </c>
      <c r="GF10">
        <f ca="1">INDIRECT("'Data 9'!GF"&amp;IF('Plot Layout'!J10="",2,'Plot Layout'!J10+1))</f>
        <v>0</v>
      </c>
      <c r="GG10">
        <f ca="1">INDIRECT("'Data 9'!GG"&amp;IF('Plot Layout'!J10="",2,'Plot Layout'!J10+1))</f>
        <v>0</v>
      </c>
      <c r="GH10">
        <f ca="1">INDIRECT("'Data 9'!GH"&amp;IF('Plot Layout'!J10="",2,'Plot Layout'!J10+1))</f>
        <v>0</v>
      </c>
      <c r="GI10">
        <f ca="1">INDIRECT("'Data 9'!GI"&amp;IF('Plot Layout'!J10="",2,'Plot Layout'!J10+1))</f>
        <v>0</v>
      </c>
      <c r="GJ10">
        <f ca="1">INDIRECT("'Data 9'!GJ"&amp;IF('Plot Layout'!J10="",2,'Plot Layout'!J10+1))</f>
        <v>0</v>
      </c>
      <c r="GK10">
        <f ca="1">INDIRECT("'Data 9'!GK"&amp;IF('Plot Layout'!J10="",2,'Plot Layout'!J10+1))</f>
        <v>0</v>
      </c>
      <c r="GL10">
        <f ca="1">INDIRECT("'Data 9'!GL"&amp;IF('Plot Layout'!J10="",2,'Plot Layout'!J10+1))</f>
        <v>0</v>
      </c>
      <c r="GM10">
        <f ca="1">INDIRECT("'Data 9'!GM"&amp;IF('Plot Layout'!J10="",2,'Plot Layout'!J10+1))</f>
        <v>0</v>
      </c>
      <c r="GN10">
        <f ca="1">INDIRECT("'Data 9'!GN"&amp;IF('Plot Layout'!J10="",2,'Plot Layout'!J10+1))</f>
        <v>0</v>
      </c>
      <c r="GO10">
        <f ca="1">INDIRECT("'Data 9'!GO"&amp;IF('Plot Layout'!J10="",2,'Plot Layout'!J10+1))</f>
        <v>0</v>
      </c>
      <c r="GP10">
        <f ca="1">INDIRECT("'Data 9'!GP"&amp;IF('Plot Layout'!J10="",2,'Plot Layout'!J10+1))</f>
        <v>0</v>
      </c>
      <c r="GQ10">
        <f ca="1">INDIRECT("'Data 9'!GQ"&amp;IF('Plot Layout'!J10="",2,'Plot Layout'!J10+1))</f>
        <v>0</v>
      </c>
      <c r="GR10">
        <f ca="1">INDIRECT("'Data 9'!GR"&amp;IF('Plot Layout'!J10="",2,'Plot Layout'!J10+1))</f>
        <v>0</v>
      </c>
      <c r="GS10">
        <f ca="1">INDIRECT("'Data 9'!GS"&amp;IF('Plot Layout'!J10="",2,'Plot Layout'!J10+1))</f>
        <v>0</v>
      </c>
      <c r="GT10">
        <f ca="1">INDIRECT("'Data 9'!GT"&amp;IF('Plot Layout'!J10="",2,'Plot Layout'!J10+1))</f>
        <v>0</v>
      </c>
      <c r="GU10">
        <f ca="1">INDIRECT("'Data 9'!GU"&amp;IF('Plot Layout'!J10="",2,'Plot Layout'!J10+1))</f>
        <v>0</v>
      </c>
      <c r="GV10">
        <f ca="1">INDIRECT("'Data 9'!GV"&amp;IF('Plot Layout'!J10="",2,'Plot Layout'!J10+1))</f>
        <v>0</v>
      </c>
      <c r="GW10">
        <f ca="1">INDIRECT("'Data 9'!GW"&amp;IF('Plot Layout'!J10="",2,'Plot Layout'!J10+1))</f>
        <v>0</v>
      </c>
      <c r="GX10">
        <f ca="1">INDIRECT("'Data 9'!GX"&amp;IF('Plot Layout'!J10="",2,'Plot Layout'!J10+1))</f>
        <v>0</v>
      </c>
      <c r="GY10">
        <f ca="1">INDIRECT("'Data 9'!GY"&amp;IF('Plot Layout'!J10="",2,'Plot Layout'!J10+1))</f>
        <v>0</v>
      </c>
      <c r="GZ10">
        <f ca="1">INDIRECT("'Data 9'!GZ"&amp;IF('Plot Layout'!J10="",2,'Plot Layout'!J10+1))</f>
        <v>0</v>
      </c>
      <c r="HA10">
        <f ca="1">INDIRECT("'Data 9'!HA"&amp;IF('Plot Layout'!J10="",2,'Plot Layout'!J10+1))</f>
        <v>0</v>
      </c>
      <c r="HB10">
        <f ca="1">INDIRECT("'Data 9'!HB"&amp;IF('Plot Layout'!J10="",2,'Plot Layout'!J10+1))</f>
        <v>0</v>
      </c>
      <c r="HC10">
        <f ca="1">INDIRECT("'Data 9'!HC"&amp;IF('Plot Layout'!J10="",2,'Plot Layout'!J10+1))</f>
        <v>0</v>
      </c>
      <c r="HD10">
        <f ca="1">INDIRECT("'Data 9'!HD"&amp;IF('Plot Layout'!J10="",2,'Plot Layout'!J10+1))</f>
        <v>0</v>
      </c>
      <c r="HE10">
        <f ca="1">INDIRECT("'Data 9'!HE"&amp;IF('Plot Layout'!J10="",2,'Plot Layout'!J10+1))</f>
        <v>0</v>
      </c>
      <c r="HF10">
        <f ca="1">INDIRECT("'Data 9'!HF"&amp;IF('Plot Layout'!J10="",2,'Plot Layout'!J10+1))</f>
        <v>0</v>
      </c>
      <c r="HG10">
        <f ca="1">INDIRECT("'Data 9'!HG"&amp;IF('Plot Layout'!J10="",2,'Plot Layout'!J10+1))</f>
        <v>0</v>
      </c>
      <c r="HH10">
        <f ca="1">INDIRECT("'Data 9'!HH"&amp;IF('Plot Layout'!J10="",2,'Plot Layout'!J10+1))</f>
        <v>0</v>
      </c>
      <c r="HI10">
        <f ca="1">INDIRECT("'Data 9'!HI"&amp;IF('Plot Layout'!J10="",2,'Plot Layout'!J10+1))</f>
        <v>0</v>
      </c>
      <c r="HJ10">
        <f ca="1">INDIRECT("'Data 9'!HJ"&amp;IF('Plot Layout'!J10="",2,'Plot Layout'!J10+1))</f>
        <v>0</v>
      </c>
      <c r="HK10">
        <f ca="1">INDIRECT("'Data 9'!HK"&amp;IF('Plot Layout'!J10="",2,'Plot Layout'!J10+1))</f>
        <v>0</v>
      </c>
      <c r="HL10">
        <f ca="1">INDIRECT("'Data 9'!HL"&amp;IF('Plot Layout'!J10="",2,'Plot Layout'!J10+1))</f>
        <v>0</v>
      </c>
      <c r="HM10">
        <f ca="1">INDIRECT("'Data 9'!HM"&amp;IF('Plot Layout'!J10="",2,'Plot Layout'!J10+1))</f>
        <v>0</v>
      </c>
      <c r="HN10">
        <f ca="1">INDIRECT("'Data 9'!HN"&amp;IF('Plot Layout'!J10="",2,'Plot Layout'!J10+1))</f>
        <v>0</v>
      </c>
      <c r="HO10">
        <f ca="1">INDIRECT("'Data 9'!HO"&amp;IF('Plot Layout'!J10="",2,'Plot Layout'!J10+1))</f>
        <v>0</v>
      </c>
      <c r="HP10">
        <f ca="1">INDIRECT("'Data 9'!HP"&amp;IF('Plot Layout'!J10="",2,'Plot Layout'!J10+1))</f>
        <v>0</v>
      </c>
      <c r="HQ10">
        <f ca="1">INDIRECT("'Data 9'!HQ"&amp;IF('Plot Layout'!J10="",2,'Plot Layout'!J10+1))</f>
        <v>0</v>
      </c>
      <c r="HR10">
        <f ca="1">INDIRECT("'Data 9'!HR"&amp;IF('Plot Layout'!J10="",2,'Plot Layout'!J10+1))</f>
        <v>0</v>
      </c>
      <c r="HS10">
        <f ca="1">INDIRECT("'Data 9'!HS"&amp;IF('Plot Layout'!J10="",2,'Plot Layout'!J10+1))</f>
        <v>0</v>
      </c>
      <c r="HT10">
        <f ca="1">INDIRECT("'Data 9'!HT"&amp;IF('Plot Layout'!J10="",2,'Plot Layout'!J10+1))</f>
        <v>0</v>
      </c>
      <c r="HU10">
        <f ca="1">INDIRECT("'Data 9'!HU"&amp;IF('Plot Layout'!J10="",2,'Plot Layout'!J10+1))</f>
        <v>0</v>
      </c>
      <c r="HV10">
        <f ca="1">INDIRECT("'Data 9'!HV"&amp;IF('Plot Layout'!J10="",2,'Plot Layout'!J10+1))</f>
        <v>0</v>
      </c>
      <c r="HW10">
        <f ca="1">INDIRECT("'Data 9'!HW"&amp;IF('Plot Layout'!J10="",2,'Plot Layout'!J10+1))</f>
        <v>0</v>
      </c>
      <c r="HX10">
        <f ca="1">INDIRECT("'Data 9'!HX"&amp;IF('Plot Layout'!J10="",2,'Plot Layout'!J10+1))</f>
        <v>0</v>
      </c>
      <c r="HY10">
        <f ca="1">INDIRECT("'Data 9'!HY"&amp;IF('Plot Layout'!J10="",2,'Plot Layout'!J10+1))</f>
        <v>0</v>
      </c>
      <c r="HZ10">
        <f ca="1">INDIRECT("'Data 9'!HZ"&amp;IF('Plot Layout'!J10="",2,'Plot Layout'!J10+1))</f>
        <v>0</v>
      </c>
      <c r="IA10">
        <f ca="1">INDIRECT("'Data 9'!IA"&amp;IF('Plot Layout'!J10="",2,'Plot Layout'!J10+1))</f>
        <v>0</v>
      </c>
      <c r="IB10">
        <f ca="1">INDIRECT("'Data 9'!IB"&amp;IF('Plot Layout'!J10="",2,'Plot Layout'!J10+1))</f>
        <v>0</v>
      </c>
      <c r="IC10">
        <f ca="1">INDIRECT("'Data 9'!IC"&amp;IF('Plot Layout'!J10="",2,'Plot Layout'!J10+1))</f>
        <v>0</v>
      </c>
      <c r="ID10">
        <f ca="1">INDIRECT("'Data 9'!ID"&amp;IF('Plot Layout'!J10="",2,'Plot Layout'!J10+1))</f>
        <v>0</v>
      </c>
      <c r="IE10">
        <f ca="1">INDIRECT("'Data 9'!IE"&amp;IF('Plot Layout'!J10="",2,'Plot Layout'!J10+1))</f>
        <v>0</v>
      </c>
      <c r="IF10">
        <f ca="1">INDIRECT("'Data 9'!IF"&amp;IF('Plot Layout'!J10="",2,'Plot Layout'!J10+1))</f>
        <v>0</v>
      </c>
      <c r="IG10">
        <f ca="1">INDIRECT("'Data 9'!IG"&amp;IF('Plot Layout'!J10="",2,'Plot Layout'!J10+1))</f>
        <v>0</v>
      </c>
      <c r="IH10">
        <f ca="1">INDIRECT("'Data 9'!IH"&amp;IF('Plot Layout'!J10="",2,'Plot Layout'!J10+1))</f>
        <v>0</v>
      </c>
      <c r="II10">
        <f ca="1">INDIRECT("'Data 9'!II"&amp;IF('Plot Layout'!J10="",2,'Plot Layout'!J10+1))</f>
        <v>0</v>
      </c>
      <c r="IJ10">
        <f ca="1">INDIRECT("'Data 9'!IJ"&amp;IF('Plot Layout'!J10="",2,'Plot Layout'!J10+1))</f>
        <v>0</v>
      </c>
      <c r="IK10">
        <f ca="1">INDIRECT("'Data 9'!IK"&amp;IF('Plot Layout'!J10="",2,'Plot Layout'!J10+1))</f>
        <v>0</v>
      </c>
      <c r="IL10">
        <f ca="1">INDIRECT("'Data 9'!IL"&amp;IF('Plot Layout'!J10="",2,'Plot Layout'!J10+1))</f>
        <v>0</v>
      </c>
      <c r="IM10">
        <f ca="1">INDIRECT("'Data 9'!IM"&amp;IF('Plot Layout'!J10="",2,'Plot Layout'!J10+1))</f>
        <v>0</v>
      </c>
      <c r="IN10">
        <f ca="1">INDIRECT("'Data 9'!IN"&amp;IF('Plot Layout'!J10="",2,'Plot Layout'!J10+1))</f>
        <v>0</v>
      </c>
      <c r="IO10">
        <f ca="1">INDIRECT("'Data 9'!IO"&amp;IF('Plot Layout'!J10="",2,'Plot Layout'!J10+1))</f>
        <v>0</v>
      </c>
      <c r="IP10">
        <f ca="1">INDIRECT("'Data 9'!IP"&amp;IF('Plot Layout'!J10="",2,'Plot Layout'!J10+1))</f>
        <v>0</v>
      </c>
      <c r="IQ10">
        <f ca="1">INDIRECT("'Data 9'!IQ"&amp;IF('Plot Layout'!J10="",2,'Plot Layout'!J10+1))</f>
        <v>0</v>
      </c>
      <c r="IR10">
        <f ca="1">INDIRECT("'Data 9'!IR"&amp;IF('Plot Layout'!J10="",2,'Plot Layout'!J10+1))</f>
        <v>0</v>
      </c>
      <c r="IS10">
        <f ca="1">INDIRECT("'Data 9'!IS"&amp;IF('Plot Layout'!J10="",2,'Plot Layout'!J10+1))</f>
        <v>0</v>
      </c>
      <c r="IT10">
        <f ca="1">INDIRECT("'Data 9'!IT"&amp;IF('Plot Layout'!J10="",2,'Plot Layout'!J10+1))</f>
        <v>0</v>
      </c>
      <c r="IU10">
        <f ca="1">INDIRECT("'Data 9'!IU"&amp;IF('Plot Layout'!J10="",2,'Plot Layout'!J10+1))</f>
        <v>0</v>
      </c>
      <c r="IV10">
        <f ca="1">INDIRECT("'Data 9'!IV"&amp;IF('Plot Layout'!J10="",2,'Plot Layout'!J10+1))</f>
        <v>0</v>
      </c>
    </row>
    <row r="11" spans="1:256">
      <c r="A11">
        <f ca="1">INDIRECT("'Data 10'!A"&amp;IF('Plot Layout'!K10="",2,'Plot Layout'!K10+1))</f>
        <v>60</v>
      </c>
      <c r="B11">
        <f ca="1">INDIRECT("'Data 10'!B"&amp;IF('Plot Layout'!K10="",2,'Plot Layout'!K10+1))</f>
        <v>1.5</v>
      </c>
      <c r="C11" t="str">
        <f ca="1">INDIRECT("'Data 10'!C"&amp;IF('Plot Layout'!K10="",2,'Plot Layout'!K10+1))</f>
        <v>65-(12)15</v>
      </c>
      <c r="D11">
        <f ca="1">INDIRECT("'Data 10'!D"&amp;IF('Plot Layout'!K10="",2,'Plot Layout'!K10+1))</f>
        <v>1.5100000000000001E-2</v>
      </c>
      <c r="E11">
        <f ca="1">INDIRECT("'Data 10'!E"&amp;IF('Plot Layout'!K10="",2,'Plot Layout'!K10+1))</f>
        <v>1.5E-3</v>
      </c>
      <c r="F11">
        <f ca="1">INDIRECT("'Data 10'!F"&amp;IF('Plot Layout'!K10="",2,'Plot Layout'!K10+1))</f>
        <v>0.15</v>
      </c>
      <c r="G11">
        <f ca="1">INDIRECT("'Data 10'!G"&amp;IF('Plot Layout'!K10="",2,'Plot Layout'!K10+1))</f>
        <v>12</v>
      </c>
      <c r="H11">
        <f ca="1">INDIRECT("'Data 10'!H"&amp;IF('Plot Layout'!K10="",2,'Plot Layout'!K10+1))</f>
        <v>0</v>
      </c>
      <c r="I11">
        <f ca="1">INDIRECT("'Data 10'!I"&amp;IF('Plot Layout'!K10="",2,'Plot Layout'!K10+1))</f>
        <v>13.6</v>
      </c>
      <c r="J11">
        <f ca="1">INDIRECT("'Data 10'!J"&amp;IF('Plot Layout'!K10="",2,'Plot Layout'!K10+1))</f>
        <v>28.2</v>
      </c>
      <c r="K11">
        <f ca="1">INDIRECT("'Data 10'!K"&amp;IF('Plot Layout'!K10="",2,'Plot Layout'!K10+1))</f>
        <v>33.799999999999997</v>
      </c>
      <c r="L11">
        <f ca="1">INDIRECT("'Data 10'!L"&amp;IF('Plot Layout'!K10="",2,'Plot Layout'!K10+1))</f>
        <v>22.7</v>
      </c>
      <c r="M11">
        <f ca="1">INDIRECT("'Data 10'!M"&amp;IF('Plot Layout'!K10="",2,'Plot Layout'!K10+1))</f>
        <v>0.42299999999999999</v>
      </c>
      <c r="N11">
        <f ca="1">INDIRECT("'Data 10'!N"&amp;IF('Plot Layout'!K10="",2,'Plot Layout'!K10+1))</f>
        <v>1.49</v>
      </c>
      <c r="O11">
        <f ca="1">INDIRECT("'Data 10'!O"&amp;IF('Plot Layout'!K10="",2,'Plot Layout'!K10+1))</f>
        <v>10</v>
      </c>
      <c r="P11">
        <f ca="1">INDIRECT("'Data 10'!P"&amp;IF('Plot Layout'!K10="",2,'Plot Layout'!K10+1))</f>
        <v>12.5</v>
      </c>
      <c r="Q11">
        <f ca="1">INDIRECT("'Data 10'!Q"&amp;IF('Plot Layout'!K10="",2,'Plot Layout'!K10+1))</f>
        <v>1.7000000000000001E-2</v>
      </c>
      <c r="R11">
        <f ca="1">INDIRECT("'Data 10'!R"&amp;IF('Plot Layout'!K10="",2,'Plot Layout'!K10+1))</f>
        <v>0</v>
      </c>
      <c r="S11">
        <f ca="1">INDIRECT("'Data 10'!S"&amp;IF('Plot Layout'!K10="",2,'Plot Layout'!K10+1))</f>
        <v>0</v>
      </c>
      <c r="T11">
        <f ca="1">INDIRECT("'Data 10'!T"&amp;IF('Plot Layout'!K10="",2,'Plot Layout'!K10+1))</f>
        <v>0</v>
      </c>
      <c r="U11">
        <f ca="1">INDIRECT("'Data 10'!U"&amp;IF('Plot Layout'!K10="",2,'Plot Layout'!K10+1))</f>
        <v>0</v>
      </c>
      <c r="V11">
        <f ca="1">INDIRECT("'Data 10'!V"&amp;IF('Plot Layout'!K10="",2,'Plot Layout'!K10+1))</f>
        <v>0</v>
      </c>
      <c r="W11">
        <f ca="1">INDIRECT("'Data 10'!W"&amp;IF('Plot Layout'!K10="",2,'Plot Layout'!K10+1))</f>
        <v>0</v>
      </c>
      <c r="X11">
        <f ca="1">INDIRECT("'Data 10'!X"&amp;IF('Plot Layout'!K10="",2,'Plot Layout'!K10+1))</f>
        <v>0</v>
      </c>
      <c r="Y11">
        <f ca="1">INDIRECT("'Data 10'!Y"&amp;IF('Plot Layout'!K10="",2,'Plot Layout'!K10+1))</f>
        <v>0</v>
      </c>
      <c r="Z11">
        <f ca="1">INDIRECT("'Data 10'!Z"&amp;IF('Plot Layout'!K10="",2,'Plot Layout'!K10+1))</f>
        <v>0</v>
      </c>
      <c r="AA11">
        <f ca="1">INDIRECT("'Data 10'!AA"&amp;IF('Plot Layout'!K10="",2,'Plot Layout'!K10+1))</f>
        <v>0</v>
      </c>
      <c r="AB11">
        <f ca="1">INDIRECT("'Data 10'!AB"&amp;IF('Plot Layout'!K10="",2,'Plot Layout'!K10+1))</f>
        <v>0</v>
      </c>
      <c r="AC11">
        <f ca="1">INDIRECT("'Data 10'!AC"&amp;IF('Plot Layout'!K10="",2,'Plot Layout'!K10+1))</f>
        <v>0</v>
      </c>
      <c r="AD11">
        <f ca="1">INDIRECT("'Data 10'!AD"&amp;IF('Plot Layout'!K10="",2,'Plot Layout'!K10+1))</f>
        <v>0</v>
      </c>
      <c r="AE11">
        <f ca="1">INDIRECT("'Data 10'!AE"&amp;IF('Plot Layout'!K10="",2,'Plot Layout'!K10+1))</f>
        <v>0</v>
      </c>
      <c r="AF11">
        <f ca="1">INDIRECT("'Data 10'!AF"&amp;IF('Plot Layout'!K10="",2,'Plot Layout'!K10+1))</f>
        <v>0</v>
      </c>
      <c r="AG11">
        <f ca="1">INDIRECT("'Data 10'!AG"&amp;IF('Plot Layout'!K10="",2,'Plot Layout'!K10+1))</f>
        <v>0</v>
      </c>
      <c r="AH11">
        <f ca="1">INDIRECT("'Data 10'!AH"&amp;IF('Plot Layout'!K10="",2,'Plot Layout'!K10+1))</f>
        <v>0</v>
      </c>
      <c r="AI11">
        <f ca="1">INDIRECT("'Data 10'!AI"&amp;IF('Plot Layout'!K10="",2,'Plot Layout'!K10+1))</f>
        <v>0</v>
      </c>
      <c r="AJ11">
        <f ca="1">INDIRECT("'Data 10'!AJ"&amp;IF('Plot Layout'!K10="",2,'Plot Layout'!K10+1))</f>
        <v>0</v>
      </c>
      <c r="AK11">
        <f ca="1">INDIRECT("'Data 10'!AK"&amp;IF('Plot Layout'!K10="",2,'Plot Layout'!K10+1))</f>
        <v>0</v>
      </c>
      <c r="AL11">
        <f ca="1">INDIRECT("'Data 10'!AL"&amp;IF('Plot Layout'!K10="",2,'Plot Layout'!K10+1))</f>
        <v>0</v>
      </c>
      <c r="AM11">
        <f ca="1">INDIRECT("'Data 10'!AM"&amp;IF('Plot Layout'!K10="",2,'Plot Layout'!K10+1))</f>
        <v>0</v>
      </c>
      <c r="AN11">
        <f ca="1">INDIRECT("'Data 10'!AN"&amp;IF('Plot Layout'!K10="",2,'Plot Layout'!K10+1))</f>
        <v>0</v>
      </c>
      <c r="AO11">
        <f ca="1">INDIRECT("'Data 10'!AO"&amp;IF('Plot Layout'!K10="",2,'Plot Layout'!K10+1))</f>
        <v>0</v>
      </c>
      <c r="AP11">
        <f ca="1">INDIRECT("'Data 10'!AP"&amp;IF('Plot Layout'!K10="",2,'Plot Layout'!K10+1))</f>
        <v>0</v>
      </c>
      <c r="AQ11">
        <f ca="1">INDIRECT("'Data 10'!AQ"&amp;IF('Plot Layout'!K10="",2,'Plot Layout'!K10+1))</f>
        <v>0</v>
      </c>
      <c r="AR11">
        <f ca="1">INDIRECT("'Data 10'!AR"&amp;IF('Plot Layout'!K10="",2,'Plot Layout'!K10+1))</f>
        <v>0</v>
      </c>
      <c r="AS11">
        <f ca="1">INDIRECT("'Data 10'!AS"&amp;IF('Plot Layout'!K10="",2,'Plot Layout'!K10+1))</f>
        <v>0</v>
      </c>
      <c r="AT11">
        <f ca="1">INDIRECT("'Data 10'!AT"&amp;IF('Plot Layout'!K10="",2,'Plot Layout'!K10+1))</f>
        <v>0</v>
      </c>
      <c r="AU11">
        <f ca="1">INDIRECT("'Data 10'!AU"&amp;IF('Plot Layout'!K10="",2,'Plot Layout'!K10+1))</f>
        <v>0</v>
      </c>
      <c r="AV11">
        <f ca="1">INDIRECT("'Data 10'!AV"&amp;IF('Plot Layout'!K10="",2,'Plot Layout'!K10+1))</f>
        <v>0</v>
      </c>
      <c r="AW11">
        <f ca="1">INDIRECT("'Data 10'!AW"&amp;IF('Plot Layout'!K10="",2,'Plot Layout'!K10+1))</f>
        <v>0</v>
      </c>
      <c r="AX11">
        <f ca="1">INDIRECT("'Data 10'!AX"&amp;IF('Plot Layout'!K10="",2,'Plot Layout'!K10+1))</f>
        <v>0</v>
      </c>
      <c r="AY11">
        <f ca="1">INDIRECT("'Data 10'!AY"&amp;IF('Plot Layout'!K10="",2,'Plot Layout'!K10+1))</f>
        <v>0</v>
      </c>
      <c r="AZ11">
        <f ca="1">INDIRECT("'Data 10'!AZ"&amp;IF('Plot Layout'!K10="",2,'Plot Layout'!K10+1))</f>
        <v>0</v>
      </c>
      <c r="BA11">
        <f ca="1">INDIRECT("'Data 10'!BA"&amp;IF('Plot Layout'!K10="",2,'Plot Layout'!K10+1))</f>
        <v>0</v>
      </c>
      <c r="BB11">
        <f ca="1">INDIRECT("'Data 10'!BB"&amp;IF('Plot Layout'!K10="",2,'Plot Layout'!K10+1))</f>
        <v>0</v>
      </c>
      <c r="BC11">
        <f ca="1">INDIRECT("'Data 10'!BC"&amp;IF('Plot Layout'!K10="",2,'Plot Layout'!K10+1))</f>
        <v>0</v>
      </c>
      <c r="BD11">
        <f ca="1">INDIRECT("'Data 10'!BD"&amp;IF('Plot Layout'!K10="",2,'Plot Layout'!K10+1))</f>
        <v>0</v>
      </c>
      <c r="BE11">
        <f ca="1">INDIRECT("'Data 10'!BE"&amp;IF('Plot Layout'!K10="",2,'Plot Layout'!K10+1))</f>
        <v>0</v>
      </c>
      <c r="BF11">
        <f ca="1">INDIRECT("'Data 10'!BF"&amp;IF('Plot Layout'!K10="",2,'Plot Layout'!K10+1))</f>
        <v>0</v>
      </c>
      <c r="BG11">
        <f ca="1">INDIRECT("'Data 10'!BG"&amp;IF('Plot Layout'!K10="",2,'Plot Layout'!K10+1))</f>
        <v>0</v>
      </c>
      <c r="BH11">
        <f ca="1">INDIRECT("'Data 10'!BH"&amp;IF('Plot Layout'!K10="",2,'Plot Layout'!K10+1))</f>
        <v>0</v>
      </c>
      <c r="BI11">
        <f ca="1">INDIRECT("'Data 10'!BI"&amp;IF('Plot Layout'!K10="",2,'Plot Layout'!K10+1))</f>
        <v>0</v>
      </c>
      <c r="BJ11">
        <f ca="1">INDIRECT("'Data 10'!BJ"&amp;IF('Plot Layout'!K10="",2,'Plot Layout'!K10+1))</f>
        <v>0</v>
      </c>
      <c r="BK11">
        <f ca="1">INDIRECT("'Data 10'!BK"&amp;IF('Plot Layout'!K10="",2,'Plot Layout'!K10+1))</f>
        <v>0</v>
      </c>
      <c r="BL11">
        <f ca="1">INDIRECT("'Data 10'!BL"&amp;IF('Plot Layout'!K10="",2,'Plot Layout'!K10+1))</f>
        <v>0</v>
      </c>
      <c r="BM11">
        <f ca="1">INDIRECT("'Data 10'!BM"&amp;IF('Plot Layout'!K10="",2,'Plot Layout'!K10+1))</f>
        <v>0</v>
      </c>
      <c r="BN11">
        <f ca="1">INDIRECT("'Data 10'!BN"&amp;IF('Plot Layout'!K10="",2,'Plot Layout'!K10+1))</f>
        <v>0</v>
      </c>
      <c r="BO11">
        <f ca="1">INDIRECT("'Data 10'!BO"&amp;IF('Plot Layout'!K10="",2,'Plot Layout'!K10+1))</f>
        <v>0</v>
      </c>
      <c r="BP11">
        <f ca="1">INDIRECT("'Data 10'!BP"&amp;IF('Plot Layout'!K10="",2,'Plot Layout'!K10+1))</f>
        <v>0</v>
      </c>
      <c r="BQ11">
        <f ca="1">INDIRECT("'Data 10'!BQ"&amp;IF('Plot Layout'!K10="",2,'Plot Layout'!K10+1))</f>
        <v>0</v>
      </c>
      <c r="BR11">
        <f ca="1">INDIRECT("'Data 10'!BR"&amp;IF('Plot Layout'!K10="",2,'Plot Layout'!K10+1))</f>
        <v>0</v>
      </c>
      <c r="BS11">
        <f ca="1">INDIRECT("'Data 10'!BS"&amp;IF('Plot Layout'!K10="",2,'Plot Layout'!K10+1))</f>
        <v>0</v>
      </c>
      <c r="BT11">
        <f ca="1">INDIRECT("'Data 10'!BT"&amp;IF('Plot Layout'!K10="",2,'Plot Layout'!K10+1))</f>
        <v>0</v>
      </c>
      <c r="BU11">
        <f ca="1">INDIRECT("'Data 10'!BU"&amp;IF('Plot Layout'!K10="",2,'Plot Layout'!K10+1))</f>
        <v>0</v>
      </c>
      <c r="BV11">
        <f ca="1">INDIRECT("'Data 10'!BV"&amp;IF('Plot Layout'!K10="",2,'Plot Layout'!K10+1))</f>
        <v>0</v>
      </c>
      <c r="BW11">
        <f ca="1">INDIRECT("'Data 10'!BW"&amp;IF('Plot Layout'!K10="",2,'Plot Layout'!K10+1))</f>
        <v>0</v>
      </c>
      <c r="BX11">
        <f ca="1">INDIRECT("'Data 10'!BX"&amp;IF('Plot Layout'!K10="",2,'Plot Layout'!K10+1))</f>
        <v>0</v>
      </c>
      <c r="BY11">
        <f ca="1">INDIRECT("'Data 10'!BY"&amp;IF('Plot Layout'!K10="",2,'Plot Layout'!K10+1))</f>
        <v>0</v>
      </c>
      <c r="BZ11">
        <f ca="1">INDIRECT("'Data 10'!BZ"&amp;IF('Plot Layout'!K10="",2,'Plot Layout'!K10+1))</f>
        <v>0</v>
      </c>
      <c r="CA11">
        <f ca="1">INDIRECT("'Data 10'!CA"&amp;IF('Plot Layout'!K10="",2,'Plot Layout'!K10+1))</f>
        <v>0</v>
      </c>
      <c r="CB11">
        <f ca="1">INDIRECT("'Data 10'!CB"&amp;IF('Plot Layout'!K10="",2,'Plot Layout'!K10+1))</f>
        <v>0</v>
      </c>
      <c r="CC11">
        <f ca="1">INDIRECT("'Data 10'!CC"&amp;IF('Plot Layout'!K10="",2,'Plot Layout'!K10+1))</f>
        <v>0</v>
      </c>
      <c r="CD11">
        <f ca="1">INDIRECT("'Data 10'!CD"&amp;IF('Plot Layout'!K10="",2,'Plot Layout'!K10+1))</f>
        <v>0</v>
      </c>
      <c r="CE11">
        <f ca="1">INDIRECT("'Data 10'!CE"&amp;IF('Plot Layout'!K10="",2,'Plot Layout'!K10+1))</f>
        <v>0</v>
      </c>
      <c r="CF11">
        <f ca="1">INDIRECT("'Data 10'!CF"&amp;IF('Plot Layout'!K10="",2,'Plot Layout'!K10+1))</f>
        <v>0</v>
      </c>
      <c r="CG11">
        <f ca="1">INDIRECT("'Data 10'!CG"&amp;IF('Plot Layout'!K10="",2,'Plot Layout'!K10+1))</f>
        <v>0</v>
      </c>
      <c r="CH11">
        <f ca="1">INDIRECT("'Data 10'!CH"&amp;IF('Plot Layout'!K10="",2,'Plot Layout'!K10+1))</f>
        <v>0</v>
      </c>
      <c r="CI11">
        <f ca="1">INDIRECT("'Data 10'!CI"&amp;IF('Plot Layout'!K10="",2,'Plot Layout'!K10+1))</f>
        <v>0</v>
      </c>
      <c r="CJ11">
        <f ca="1">INDIRECT("'Data 10'!CJ"&amp;IF('Plot Layout'!K10="",2,'Plot Layout'!K10+1))</f>
        <v>0</v>
      </c>
      <c r="CK11">
        <f ca="1">INDIRECT("'Data 10'!CK"&amp;IF('Plot Layout'!K10="",2,'Plot Layout'!K10+1))</f>
        <v>0</v>
      </c>
      <c r="CL11">
        <f ca="1">INDIRECT("'Data 10'!CL"&amp;IF('Plot Layout'!K10="",2,'Plot Layout'!K10+1))</f>
        <v>0</v>
      </c>
      <c r="CM11">
        <f ca="1">INDIRECT("'Data 10'!CM"&amp;IF('Plot Layout'!K10="",2,'Plot Layout'!K10+1))</f>
        <v>0</v>
      </c>
      <c r="CN11">
        <f ca="1">INDIRECT("'Data 10'!CN"&amp;IF('Plot Layout'!K10="",2,'Plot Layout'!K10+1))</f>
        <v>0</v>
      </c>
      <c r="CO11">
        <f ca="1">INDIRECT("'Data 10'!CO"&amp;IF('Plot Layout'!K10="",2,'Plot Layout'!K10+1))</f>
        <v>0</v>
      </c>
      <c r="CP11">
        <f ca="1">INDIRECT("'Data 10'!CP"&amp;IF('Plot Layout'!K10="",2,'Plot Layout'!K10+1))</f>
        <v>0</v>
      </c>
      <c r="CQ11">
        <f ca="1">INDIRECT("'Data 10'!CQ"&amp;IF('Plot Layout'!K10="",2,'Plot Layout'!K10+1))</f>
        <v>0</v>
      </c>
      <c r="CR11">
        <f ca="1">INDIRECT("'Data 10'!CR"&amp;IF('Plot Layout'!K10="",2,'Plot Layout'!K10+1))</f>
        <v>0</v>
      </c>
      <c r="CS11">
        <f ca="1">INDIRECT("'Data 10'!CS"&amp;IF('Plot Layout'!K10="",2,'Plot Layout'!K10+1))</f>
        <v>0</v>
      </c>
      <c r="CT11">
        <f ca="1">INDIRECT("'Data 10'!CT"&amp;IF('Plot Layout'!K10="",2,'Plot Layout'!K10+1))</f>
        <v>0</v>
      </c>
      <c r="CU11">
        <f ca="1">INDIRECT("'Data 10'!CU"&amp;IF('Plot Layout'!K10="",2,'Plot Layout'!K10+1))</f>
        <v>0</v>
      </c>
      <c r="CV11">
        <f ca="1">INDIRECT("'Data 10'!CV"&amp;IF('Plot Layout'!K10="",2,'Plot Layout'!K10+1))</f>
        <v>0</v>
      </c>
      <c r="CW11">
        <f ca="1">INDIRECT("'Data 10'!CW"&amp;IF('Plot Layout'!K10="",2,'Plot Layout'!K10+1))</f>
        <v>0</v>
      </c>
      <c r="CX11">
        <f ca="1">INDIRECT("'Data 10'!CX"&amp;IF('Plot Layout'!K10="",2,'Plot Layout'!K10+1))</f>
        <v>0</v>
      </c>
      <c r="CY11">
        <f ca="1">INDIRECT("'Data 10'!CY"&amp;IF('Plot Layout'!K10="",2,'Plot Layout'!K10+1))</f>
        <v>0</v>
      </c>
      <c r="CZ11">
        <f ca="1">INDIRECT("'Data 10'!CZ"&amp;IF('Plot Layout'!K10="",2,'Plot Layout'!K10+1))</f>
        <v>0</v>
      </c>
      <c r="DA11">
        <f ca="1">INDIRECT("'Data 10'!DA"&amp;IF('Plot Layout'!K10="",2,'Plot Layout'!K10+1))</f>
        <v>0</v>
      </c>
      <c r="DB11">
        <f ca="1">INDIRECT("'Data 10'!DB"&amp;IF('Plot Layout'!K10="",2,'Plot Layout'!K10+1))</f>
        <v>0</v>
      </c>
      <c r="DC11">
        <f ca="1">INDIRECT("'Data 10'!DC"&amp;IF('Plot Layout'!K10="",2,'Plot Layout'!K10+1))</f>
        <v>0</v>
      </c>
      <c r="DD11">
        <f ca="1">INDIRECT("'Data 10'!DD"&amp;IF('Plot Layout'!K10="",2,'Plot Layout'!K10+1))</f>
        <v>0</v>
      </c>
      <c r="DE11">
        <f ca="1">INDIRECT("'Data 10'!DE"&amp;IF('Plot Layout'!K10="",2,'Plot Layout'!K10+1))</f>
        <v>0</v>
      </c>
      <c r="DF11">
        <f ca="1">INDIRECT("'Data 10'!DF"&amp;IF('Plot Layout'!K10="",2,'Plot Layout'!K10+1))</f>
        <v>0</v>
      </c>
      <c r="DG11">
        <f ca="1">INDIRECT("'Data 10'!DG"&amp;IF('Plot Layout'!K10="",2,'Plot Layout'!K10+1))</f>
        <v>0</v>
      </c>
      <c r="DH11">
        <f ca="1">INDIRECT("'Data 10'!DH"&amp;IF('Plot Layout'!K10="",2,'Plot Layout'!K10+1))</f>
        <v>0</v>
      </c>
      <c r="DI11">
        <f ca="1">INDIRECT("'Data 10'!DI"&amp;IF('Plot Layout'!K10="",2,'Plot Layout'!K10+1))</f>
        <v>0</v>
      </c>
      <c r="DJ11">
        <f ca="1">INDIRECT("'Data 10'!DJ"&amp;IF('Plot Layout'!K10="",2,'Plot Layout'!K10+1))</f>
        <v>0</v>
      </c>
      <c r="DK11">
        <f ca="1">INDIRECT("'Data 10'!DK"&amp;IF('Plot Layout'!K10="",2,'Plot Layout'!K10+1))</f>
        <v>0</v>
      </c>
      <c r="DL11">
        <f ca="1">INDIRECT("'Data 10'!DL"&amp;IF('Plot Layout'!K10="",2,'Plot Layout'!K10+1))</f>
        <v>0</v>
      </c>
      <c r="DM11">
        <f ca="1">INDIRECT("'Data 10'!DM"&amp;IF('Plot Layout'!K10="",2,'Plot Layout'!K10+1))</f>
        <v>0</v>
      </c>
      <c r="DN11">
        <f ca="1">INDIRECT("'Data 10'!DN"&amp;IF('Plot Layout'!K10="",2,'Plot Layout'!K10+1))</f>
        <v>0</v>
      </c>
      <c r="DO11">
        <f ca="1">INDIRECT("'Data 10'!DO"&amp;IF('Plot Layout'!K10="",2,'Plot Layout'!K10+1))</f>
        <v>0</v>
      </c>
      <c r="DP11">
        <f ca="1">INDIRECT("'Data 10'!DP"&amp;IF('Plot Layout'!K10="",2,'Plot Layout'!K10+1))</f>
        <v>0</v>
      </c>
      <c r="DQ11">
        <f ca="1">INDIRECT("'Data 10'!DQ"&amp;IF('Plot Layout'!K10="",2,'Plot Layout'!K10+1))</f>
        <v>0</v>
      </c>
      <c r="DR11">
        <f ca="1">INDIRECT("'Data 10'!DR"&amp;IF('Plot Layout'!K10="",2,'Plot Layout'!K10+1))</f>
        <v>0</v>
      </c>
      <c r="DS11">
        <f ca="1">INDIRECT("'Data 10'!DS"&amp;IF('Plot Layout'!K10="",2,'Plot Layout'!K10+1))</f>
        <v>0</v>
      </c>
      <c r="DT11">
        <f ca="1">INDIRECT("'Data 10'!DT"&amp;IF('Plot Layout'!K10="",2,'Plot Layout'!K10+1))</f>
        <v>0</v>
      </c>
      <c r="DU11">
        <f ca="1">INDIRECT("'Data 10'!DU"&amp;IF('Plot Layout'!K10="",2,'Plot Layout'!K10+1))</f>
        <v>0</v>
      </c>
      <c r="DV11">
        <f ca="1">INDIRECT("'Data 10'!DV"&amp;IF('Plot Layout'!K10="",2,'Plot Layout'!K10+1))</f>
        <v>0</v>
      </c>
      <c r="DW11">
        <f ca="1">INDIRECT("'Data 10'!DW"&amp;IF('Plot Layout'!K10="",2,'Plot Layout'!K10+1))</f>
        <v>0</v>
      </c>
      <c r="DX11">
        <f ca="1">INDIRECT("'Data 10'!DX"&amp;IF('Plot Layout'!K10="",2,'Plot Layout'!K10+1))</f>
        <v>0</v>
      </c>
      <c r="DY11">
        <f ca="1">INDIRECT("'Data 10'!DY"&amp;IF('Plot Layout'!K10="",2,'Plot Layout'!K10+1))</f>
        <v>0</v>
      </c>
      <c r="DZ11">
        <f ca="1">INDIRECT("'Data 10'!DZ"&amp;IF('Plot Layout'!K10="",2,'Plot Layout'!K10+1))</f>
        <v>0</v>
      </c>
      <c r="EA11">
        <f ca="1">INDIRECT("'Data 10'!EA"&amp;IF('Plot Layout'!K10="",2,'Plot Layout'!K10+1))</f>
        <v>0</v>
      </c>
      <c r="EB11">
        <f ca="1">INDIRECT("'Data 10'!EB"&amp;IF('Plot Layout'!K10="",2,'Plot Layout'!K10+1))</f>
        <v>0</v>
      </c>
      <c r="EC11">
        <f ca="1">INDIRECT("'Data 10'!EC"&amp;IF('Plot Layout'!K10="",2,'Plot Layout'!K10+1))</f>
        <v>0</v>
      </c>
      <c r="ED11">
        <f ca="1">INDIRECT("'Data 10'!ED"&amp;IF('Plot Layout'!K10="",2,'Plot Layout'!K10+1))</f>
        <v>0</v>
      </c>
      <c r="EE11">
        <f ca="1">INDIRECT("'Data 10'!EE"&amp;IF('Plot Layout'!K10="",2,'Plot Layout'!K10+1))</f>
        <v>0</v>
      </c>
      <c r="EF11">
        <f ca="1">INDIRECT("'Data 10'!EF"&amp;IF('Plot Layout'!K10="",2,'Plot Layout'!K10+1))</f>
        <v>0</v>
      </c>
      <c r="EG11">
        <f ca="1">INDIRECT("'Data 10'!EG"&amp;IF('Plot Layout'!K10="",2,'Plot Layout'!K10+1))</f>
        <v>0</v>
      </c>
      <c r="EH11">
        <f ca="1">INDIRECT("'Data 10'!EH"&amp;IF('Plot Layout'!K10="",2,'Plot Layout'!K10+1))</f>
        <v>0</v>
      </c>
      <c r="EI11">
        <f ca="1">INDIRECT("'Data 10'!EI"&amp;IF('Plot Layout'!K10="",2,'Plot Layout'!K10+1))</f>
        <v>0</v>
      </c>
      <c r="EJ11">
        <f ca="1">INDIRECT("'Data 10'!EJ"&amp;IF('Plot Layout'!K10="",2,'Plot Layout'!K10+1))</f>
        <v>0</v>
      </c>
      <c r="EK11">
        <f ca="1">INDIRECT("'Data 10'!EK"&amp;IF('Plot Layout'!K10="",2,'Plot Layout'!K10+1))</f>
        <v>0</v>
      </c>
      <c r="EL11">
        <f ca="1">INDIRECT("'Data 10'!EL"&amp;IF('Plot Layout'!K10="",2,'Plot Layout'!K10+1))</f>
        <v>0</v>
      </c>
      <c r="EM11">
        <f ca="1">INDIRECT("'Data 10'!EM"&amp;IF('Plot Layout'!K10="",2,'Plot Layout'!K10+1))</f>
        <v>0</v>
      </c>
      <c r="EN11">
        <f ca="1">INDIRECT("'Data 10'!EN"&amp;IF('Plot Layout'!K10="",2,'Plot Layout'!K10+1))</f>
        <v>0</v>
      </c>
      <c r="EO11">
        <f ca="1">INDIRECT("'Data 10'!EO"&amp;IF('Plot Layout'!K10="",2,'Plot Layout'!K10+1))</f>
        <v>0</v>
      </c>
      <c r="EP11">
        <f ca="1">INDIRECT("'Data 10'!EP"&amp;IF('Plot Layout'!K10="",2,'Plot Layout'!K10+1))</f>
        <v>0</v>
      </c>
      <c r="EQ11">
        <f ca="1">INDIRECT("'Data 10'!EQ"&amp;IF('Plot Layout'!K10="",2,'Plot Layout'!K10+1))</f>
        <v>0</v>
      </c>
      <c r="ER11">
        <f ca="1">INDIRECT("'Data 10'!ER"&amp;IF('Plot Layout'!K10="",2,'Plot Layout'!K10+1))</f>
        <v>0</v>
      </c>
      <c r="ES11">
        <f ca="1">INDIRECT("'Data 10'!ES"&amp;IF('Plot Layout'!K10="",2,'Plot Layout'!K10+1))</f>
        <v>0</v>
      </c>
      <c r="ET11">
        <f ca="1">INDIRECT("'Data 10'!ET"&amp;IF('Plot Layout'!K10="",2,'Plot Layout'!K10+1))</f>
        <v>0</v>
      </c>
      <c r="EU11">
        <f ca="1">INDIRECT("'Data 10'!EU"&amp;IF('Plot Layout'!K10="",2,'Plot Layout'!K10+1))</f>
        <v>0</v>
      </c>
      <c r="EV11">
        <f ca="1">INDIRECT("'Data 10'!EV"&amp;IF('Plot Layout'!K10="",2,'Plot Layout'!K10+1))</f>
        <v>0</v>
      </c>
      <c r="EW11">
        <f ca="1">INDIRECT("'Data 10'!EW"&amp;IF('Plot Layout'!K10="",2,'Plot Layout'!K10+1))</f>
        <v>0</v>
      </c>
      <c r="EX11">
        <f ca="1">INDIRECT("'Data 10'!EX"&amp;IF('Plot Layout'!K10="",2,'Plot Layout'!K10+1))</f>
        <v>0</v>
      </c>
      <c r="EY11">
        <f ca="1">INDIRECT("'Data 10'!EY"&amp;IF('Plot Layout'!K10="",2,'Plot Layout'!K10+1))</f>
        <v>0</v>
      </c>
      <c r="EZ11">
        <f ca="1">INDIRECT("'Data 10'!EZ"&amp;IF('Plot Layout'!K10="",2,'Plot Layout'!K10+1))</f>
        <v>0</v>
      </c>
      <c r="FA11">
        <f ca="1">INDIRECT("'Data 10'!FA"&amp;IF('Plot Layout'!K10="",2,'Plot Layout'!K10+1))</f>
        <v>0</v>
      </c>
      <c r="FB11">
        <f ca="1">INDIRECT("'Data 10'!FB"&amp;IF('Plot Layout'!K10="",2,'Plot Layout'!K10+1))</f>
        <v>0</v>
      </c>
      <c r="FC11">
        <f ca="1">INDIRECT("'Data 10'!FC"&amp;IF('Plot Layout'!K10="",2,'Plot Layout'!K10+1))</f>
        <v>0</v>
      </c>
      <c r="FD11">
        <f ca="1">INDIRECT("'Data 10'!FD"&amp;IF('Plot Layout'!K10="",2,'Plot Layout'!K10+1))</f>
        <v>0</v>
      </c>
      <c r="FE11">
        <f ca="1">INDIRECT("'Data 10'!FE"&amp;IF('Plot Layout'!K10="",2,'Plot Layout'!K10+1))</f>
        <v>0</v>
      </c>
      <c r="FF11">
        <f ca="1">INDIRECT("'Data 10'!FF"&amp;IF('Plot Layout'!K10="",2,'Plot Layout'!K10+1))</f>
        <v>0</v>
      </c>
      <c r="FG11">
        <f ca="1">INDIRECT("'Data 10'!FG"&amp;IF('Plot Layout'!K10="",2,'Plot Layout'!K10+1))</f>
        <v>0</v>
      </c>
      <c r="FH11">
        <f ca="1">INDIRECT("'Data 10'!FH"&amp;IF('Plot Layout'!K10="",2,'Plot Layout'!K10+1))</f>
        <v>0</v>
      </c>
      <c r="FI11">
        <f ca="1">INDIRECT("'Data 10'!FI"&amp;IF('Plot Layout'!K10="",2,'Plot Layout'!K10+1))</f>
        <v>0</v>
      </c>
      <c r="FJ11">
        <f ca="1">INDIRECT("'Data 10'!FJ"&amp;IF('Plot Layout'!K10="",2,'Plot Layout'!K10+1))</f>
        <v>0</v>
      </c>
      <c r="FK11">
        <f ca="1">INDIRECT("'Data 10'!FK"&amp;IF('Plot Layout'!K10="",2,'Plot Layout'!K10+1))</f>
        <v>0</v>
      </c>
      <c r="FL11">
        <f ca="1">INDIRECT("'Data 10'!FL"&amp;IF('Plot Layout'!K10="",2,'Plot Layout'!K10+1))</f>
        <v>0</v>
      </c>
      <c r="FM11">
        <f ca="1">INDIRECT("'Data 10'!FM"&amp;IF('Plot Layout'!K10="",2,'Plot Layout'!K10+1))</f>
        <v>0</v>
      </c>
      <c r="FN11">
        <f ca="1">INDIRECT("'Data 10'!FN"&amp;IF('Plot Layout'!K10="",2,'Plot Layout'!K10+1))</f>
        <v>0</v>
      </c>
      <c r="FO11">
        <f ca="1">INDIRECT("'Data 10'!FO"&amp;IF('Plot Layout'!K10="",2,'Plot Layout'!K10+1))</f>
        <v>0</v>
      </c>
      <c r="FP11">
        <f ca="1">INDIRECT("'Data 10'!FP"&amp;IF('Plot Layout'!K10="",2,'Plot Layout'!K10+1))</f>
        <v>0</v>
      </c>
      <c r="FQ11">
        <f ca="1">INDIRECT("'Data 10'!FQ"&amp;IF('Plot Layout'!K10="",2,'Plot Layout'!K10+1))</f>
        <v>0</v>
      </c>
      <c r="FR11">
        <f ca="1">INDIRECT("'Data 10'!FR"&amp;IF('Plot Layout'!K10="",2,'Plot Layout'!K10+1))</f>
        <v>0</v>
      </c>
      <c r="FS11">
        <f ca="1">INDIRECT("'Data 10'!FS"&amp;IF('Plot Layout'!K10="",2,'Plot Layout'!K10+1))</f>
        <v>0</v>
      </c>
      <c r="FT11">
        <f ca="1">INDIRECT("'Data 10'!FT"&amp;IF('Plot Layout'!K10="",2,'Plot Layout'!K10+1))</f>
        <v>0</v>
      </c>
      <c r="FU11">
        <f ca="1">INDIRECT("'Data 10'!FU"&amp;IF('Plot Layout'!K10="",2,'Plot Layout'!K10+1))</f>
        <v>0</v>
      </c>
      <c r="FV11">
        <f ca="1">INDIRECT("'Data 10'!FV"&amp;IF('Plot Layout'!K10="",2,'Plot Layout'!K10+1))</f>
        <v>0</v>
      </c>
      <c r="FW11">
        <f ca="1">INDIRECT("'Data 10'!FW"&amp;IF('Plot Layout'!K10="",2,'Plot Layout'!K10+1))</f>
        <v>0</v>
      </c>
      <c r="FX11">
        <f ca="1">INDIRECT("'Data 10'!FX"&amp;IF('Plot Layout'!K10="",2,'Plot Layout'!K10+1))</f>
        <v>0</v>
      </c>
      <c r="FY11">
        <f ca="1">INDIRECT("'Data 10'!FY"&amp;IF('Plot Layout'!K10="",2,'Plot Layout'!K10+1))</f>
        <v>0</v>
      </c>
      <c r="FZ11">
        <f ca="1">INDIRECT("'Data 10'!FZ"&amp;IF('Plot Layout'!K10="",2,'Plot Layout'!K10+1))</f>
        <v>0</v>
      </c>
      <c r="GA11">
        <f ca="1">INDIRECT("'Data 10'!GA"&amp;IF('Plot Layout'!K10="",2,'Plot Layout'!K10+1))</f>
        <v>0</v>
      </c>
      <c r="GB11">
        <f ca="1">INDIRECT("'Data 10'!GB"&amp;IF('Plot Layout'!K10="",2,'Plot Layout'!K10+1))</f>
        <v>0</v>
      </c>
      <c r="GC11">
        <f ca="1">INDIRECT("'Data 10'!GC"&amp;IF('Plot Layout'!K10="",2,'Plot Layout'!K10+1))</f>
        <v>0</v>
      </c>
      <c r="GD11">
        <f ca="1">INDIRECT("'Data 10'!GD"&amp;IF('Plot Layout'!K10="",2,'Plot Layout'!K10+1))</f>
        <v>0</v>
      </c>
      <c r="GE11">
        <f ca="1">INDIRECT("'Data 10'!GE"&amp;IF('Plot Layout'!K10="",2,'Plot Layout'!K10+1))</f>
        <v>0</v>
      </c>
      <c r="GF11">
        <f ca="1">INDIRECT("'Data 10'!GF"&amp;IF('Plot Layout'!K10="",2,'Plot Layout'!K10+1))</f>
        <v>0</v>
      </c>
      <c r="GG11">
        <f ca="1">INDIRECT("'Data 10'!GG"&amp;IF('Plot Layout'!K10="",2,'Plot Layout'!K10+1))</f>
        <v>0</v>
      </c>
      <c r="GH11">
        <f ca="1">INDIRECT("'Data 10'!GH"&amp;IF('Plot Layout'!K10="",2,'Plot Layout'!K10+1))</f>
        <v>0</v>
      </c>
      <c r="GI11">
        <f ca="1">INDIRECT("'Data 10'!GI"&amp;IF('Plot Layout'!K10="",2,'Plot Layout'!K10+1))</f>
        <v>0</v>
      </c>
      <c r="GJ11">
        <f ca="1">INDIRECT("'Data 10'!GJ"&amp;IF('Plot Layout'!K10="",2,'Plot Layout'!K10+1))</f>
        <v>0</v>
      </c>
      <c r="GK11">
        <f ca="1">INDIRECT("'Data 10'!GK"&amp;IF('Plot Layout'!K10="",2,'Plot Layout'!K10+1))</f>
        <v>0</v>
      </c>
      <c r="GL11">
        <f ca="1">INDIRECT("'Data 10'!GL"&amp;IF('Plot Layout'!K10="",2,'Plot Layout'!K10+1))</f>
        <v>0</v>
      </c>
      <c r="GM11">
        <f ca="1">INDIRECT("'Data 10'!GM"&amp;IF('Plot Layout'!K10="",2,'Plot Layout'!K10+1))</f>
        <v>0</v>
      </c>
      <c r="GN11">
        <f ca="1">INDIRECT("'Data 10'!GN"&amp;IF('Plot Layout'!K10="",2,'Plot Layout'!K10+1))</f>
        <v>0</v>
      </c>
      <c r="GO11">
        <f ca="1">INDIRECT("'Data 10'!GO"&amp;IF('Plot Layout'!K10="",2,'Plot Layout'!K10+1))</f>
        <v>0</v>
      </c>
      <c r="GP11">
        <f ca="1">INDIRECT("'Data 10'!GP"&amp;IF('Plot Layout'!K10="",2,'Plot Layout'!K10+1))</f>
        <v>0</v>
      </c>
      <c r="GQ11">
        <f ca="1">INDIRECT("'Data 10'!GQ"&amp;IF('Plot Layout'!K10="",2,'Plot Layout'!K10+1))</f>
        <v>0</v>
      </c>
      <c r="GR11">
        <f ca="1">INDIRECT("'Data 10'!GR"&amp;IF('Plot Layout'!K10="",2,'Plot Layout'!K10+1))</f>
        <v>0</v>
      </c>
      <c r="GS11">
        <f ca="1">INDIRECT("'Data 10'!GS"&amp;IF('Plot Layout'!K10="",2,'Plot Layout'!K10+1))</f>
        <v>0</v>
      </c>
      <c r="GT11">
        <f ca="1">INDIRECT("'Data 10'!GT"&amp;IF('Plot Layout'!K10="",2,'Plot Layout'!K10+1))</f>
        <v>0</v>
      </c>
      <c r="GU11">
        <f ca="1">INDIRECT("'Data 10'!GU"&amp;IF('Plot Layout'!K10="",2,'Plot Layout'!K10+1))</f>
        <v>0</v>
      </c>
      <c r="GV11">
        <f ca="1">INDIRECT("'Data 10'!GV"&amp;IF('Plot Layout'!K10="",2,'Plot Layout'!K10+1))</f>
        <v>0</v>
      </c>
      <c r="GW11">
        <f ca="1">INDIRECT("'Data 10'!GW"&amp;IF('Plot Layout'!K10="",2,'Plot Layout'!K10+1))</f>
        <v>0</v>
      </c>
      <c r="GX11">
        <f ca="1">INDIRECT("'Data 10'!GX"&amp;IF('Plot Layout'!K10="",2,'Plot Layout'!K10+1))</f>
        <v>0</v>
      </c>
      <c r="GY11">
        <f ca="1">INDIRECT("'Data 10'!GY"&amp;IF('Plot Layout'!K10="",2,'Plot Layout'!K10+1))</f>
        <v>0</v>
      </c>
      <c r="GZ11">
        <f ca="1">INDIRECT("'Data 10'!GZ"&amp;IF('Plot Layout'!K10="",2,'Plot Layout'!K10+1))</f>
        <v>0</v>
      </c>
      <c r="HA11">
        <f ca="1">INDIRECT("'Data 10'!HA"&amp;IF('Plot Layout'!K10="",2,'Plot Layout'!K10+1))</f>
        <v>0</v>
      </c>
      <c r="HB11">
        <f ca="1">INDIRECT("'Data 10'!HB"&amp;IF('Plot Layout'!K10="",2,'Plot Layout'!K10+1))</f>
        <v>0</v>
      </c>
      <c r="HC11">
        <f ca="1">INDIRECT("'Data 10'!HC"&amp;IF('Plot Layout'!K10="",2,'Plot Layout'!K10+1))</f>
        <v>0</v>
      </c>
      <c r="HD11">
        <f ca="1">INDIRECT("'Data 10'!HD"&amp;IF('Plot Layout'!K10="",2,'Plot Layout'!K10+1))</f>
        <v>0</v>
      </c>
      <c r="HE11">
        <f ca="1">INDIRECT("'Data 10'!HE"&amp;IF('Plot Layout'!K10="",2,'Plot Layout'!K10+1))</f>
        <v>0</v>
      </c>
      <c r="HF11">
        <f ca="1">INDIRECT("'Data 10'!HF"&amp;IF('Plot Layout'!K10="",2,'Plot Layout'!K10+1))</f>
        <v>0</v>
      </c>
      <c r="HG11">
        <f ca="1">INDIRECT("'Data 10'!HG"&amp;IF('Plot Layout'!K10="",2,'Plot Layout'!K10+1))</f>
        <v>0</v>
      </c>
      <c r="HH11">
        <f ca="1">INDIRECT("'Data 10'!HH"&amp;IF('Plot Layout'!K10="",2,'Plot Layout'!K10+1))</f>
        <v>0</v>
      </c>
      <c r="HI11">
        <f ca="1">INDIRECT("'Data 10'!HI"&amp;IF('Plot Layout'!K10="",2,'Plot Layout'!K10+1))</f>
        <v>0</v>
      </c>
      <c r="HJ11">
        <f ca="1">INDIRECT("'Data 10'!HJ"&amp;IF('Plot Layout'!K10="",2,'Plot Layout'!K10+1))</f>
        <v>0</v>
      </c>
      <c r="HK11">
        <f ca="1">INDIRECT("'Data 10'!HK"&amp;IF('Plot Layout'!K10="",2,'Plot Layout'!K10+1))</f>
        <v>0</v>
      </c>
      <c r="HL11">
        <f ca="1">INDIRECT("'Data 10'!HL"&amp;IF('Plot Layout'!K10="",2,'Plot Layout'!K10+1))</f>
        <v>0</v>
      </c>
      <c r="HM11">
        <f ca="1">INDIRECT("'Data 10'!HM"&amp;IF('Plot Layout'!K10="",2,'Plot Layout'!K10+1))</f>
        <v>0</v>
      </c>
      <c r="HN11">
        <f ca="1">INDIRECT("'Data 10'!HN"&amp;IF('Plot Layout'!K10="",2,'Plot Layout'!K10+1))</f>
        <v>0</v>
      </c>
      <c r="HO11">
        <f ca="1">INDIRECT("'Data 10'!HO"&amp;IF('Plot Layout'!K10="",2,'Plot Layout'!K10+1))</f>
        <v>0</v>
      </c>
      <c r="HP11">
        <f ca="1">INDIRECT("'Data 10'!HP"&amp;IF('Plot Layout'!K10="",2,'Plot Layout'!K10+1))</f>
        <v>0</v>
      </c>
      <c r="HQ11">
        <f ca="1">INDIRECT("'Data 10'!HQ"&amp;IF('Plot Layout'!K10="",2,'Plot Layout'!K10+1))</f>
        <v>0</v>
      </c>
      <c r="HR11">
        <f ca="1">INDIRECT("'Data 10'!HR"&amp;IF('Plot Layout'!K10="",2,'Plot Layout'!K10+1))</f>
        <v>0</v>
      </c>
      <c r="HS11">
        <f ca="1">INDIRECT("'Data 10'!HS"&amp;IF('Plot Layout'!K10="",2,'Plot Layout'!K10+1))</f>
        <v>0</v>
      </c>
      <c r="HT11">
        <f ca="1">INDIRECT("'Data 10'!HT"&amp;IF('Plot Layout'!K10="",2,'Plot Layout'!K10+1))</f>
        <v>0</v>
      </c>
      <c r="HU11">
        <f ca="1">INDIRECT("'Data 10'!HU"&amp;IF('Plot Layout'!K10="",2,'Plot Layout'!K10+1))</f>
        <v>0</v>
      </c>
      <c r="HV11">
        <f ca="1">INDIRECT("'Data 10'!HV"&amp;IF('Plot Layout'!K10="",2,'Plot Layout'!K10+1))</f>
        <v>0</v>
      </c>
      <c r="HW11">
        <f ca="1">INDIRECT("'Data 10'!HW"&amp;IF('Plot Layout'!K10="",2,'Plot Layout'!K10+1))</f>
        <v>0</v>
      </c>
      <c r="HX11">
        <f ca="1">INDIRECT("'Data 10'!HX"&amp;IF('Plot Layout'!K10="",2,'Plot Layout'!K10+1))</f>
        <v>0</v>
      </c>
      <c r="HY11">
        <f ca="1">INDIRECT("'Data 10'!HY"&amp;IF('Plot Layout'!K10="",2,'Plot Layout'!K10+1))</f>
        <v>0</v>
      </c>
      <c r="HZ11">
        <f ca="1">INDIRECT("'Data 10'!HZ"&amp;IF('Plot Layout'!K10="",2,'Plot Layout'!K10+1))</f>
        <v>0</v>
      </c>
      <c r="IA11">
        <f ca="1">INDIRECT("'Data 10'!IA"&amp;IF('Plot Layout'!K10="",2,'Plot Layout'!K10+1))</f>
        <v>0</v>
      </c>
      <c r="IB11">
        <f ca="1">INDIRECT("'Data 10'!IB"&amp;IF('Plot Layout'!K10="",2,'Plot Layout'!K10+1))</f>
        <v>0</v>
      </c>
      <c r="IC11">
        <f ca="1">INDIRECT("'Data 10'!IC"&amp;IF('Plot Layout'!K10="",2,'Plot Layout'!K10+1))</f>
        <v>0</v>
      </c>
      <c r="ID11">
        <f ca="1">INDIRECT("'Data 10'!ID"&amp;IF('Plot Layout'!K10="",2,'Plot Layout'!K10+1))</f>
        <v>0</v>
      </c>
      <c r="IE11">
        <f ca="1">INDIRECT("'Data 10'!IE"&amp;IF('Plot Layout'!K10="",2,'Plot Layout'!K10+1))</f>
        <v>0</v>
      </c>
      <c r="IF11">
        <f ca="1">INDIRECT("'Data 10'!IF"&amp;IF('Plot Layout'!K10="",2,'Plot Layout'!K10+1))</f>
        <v>0</v>
      </c>
      <c r="IG11">
        <f ca="1">INDIRECT("'Data 10'!IG"&amp;IF('Plot Layout'!K10="",2,'Plot Layout'!K10+1))</f>
        <v>0</v>
      </c>
      <c r="IH11">
        <f ca="1">INDIRECT("'Data 10'!IH"&amp;IF('Plot Layout'!K10="",2,'Plot Layout'!K10+1))</f>
        <v>0</v>
      </c>
      <c r="II11">
        <f ca="1">INDIRECT("'Data 10'!II"&amp;IF('Plot Layout'!K10="",2,'Plot Layout'!K10+1))</f>
        <v>0</v>
      </c>
      <c r="IJ11">
        <f ca="1">INDIRECT("'Data 10'!IJ"&amp;IF('Plot Layout'!K10="",2,'Plot Layout'!K10+1))</f>
        <v>0</v>
      </c>
      <c r="IK11">
        <f ca="1">INDIRECT("'Data 10'!IK"&amp;IF('Plot Layout'!K10="",2,'Plot Layout'!K10+1))</f>
        <v>0</v>
      </c>
      <c r="IL11">
        <f ca="1">INDIRECT("'Data 10'!IL"&amp;IF('Plot Layout'!K10="",2,'Plot Layout'!K10+1))</f>
        <v>0</v>
      </c>
      <c r="IM11">
        <f ca="1">INDIRECT("'Data 10'!IM"&amp;IF('Plot Layout'!K10="",2,'Plot Layout'!K10+1))</f>
        <v>0</v>
      </c>
      <c r="IN11">
        <f ca="1">INDIRECT("'Data 10'!IN"&amp;IF('Plot Layout'!K10="",2,'Plot Layout'!K10+1))</f>
        <v>0</v>
      </c>
      <c r="IO11">
        <f ca="1">INDIRECT("'Data 10'!IO"&amp;IF('Plot Layout'!K10="",2,'Plot Layout'!K10+1))</f>
        <v>0</v>
      </c>
      <c r="IP11">
        <f ca="1">INDIRECT("'Data 10'!IP"&amp;IF('Plot Layout'!K10="",2,'Plot Layout'!K10+1))</f>
        <v>0</v>
      </c>
      <c r="IQ11">
        <f ca="1">INDIRECT("'Data 10'!IQ"&amp;IF('Plot Layout'!K10="",2,'Plot Layout'!K10+1))</f>
        <v>0</v>
      </c>
      <c r="IR11">
        <f ca="1">INDIRECT("'Data 10'!IR"&amp;IF('Plot Layout'!K10="",2,'Plot Layout'!K10+1))</f>
        <v>0</v>
      </c>
      <c r="IS11">
        <f ca="1">INDIRECT("'Data 10'!IS"&amp;IF('Plot Layout'!K10="",2,'Plot Layout'!K10+1))</f>
        <v>0</v>
      </c>
      <c r="IT11">
        <f ca="1">INDIRECT("'Data 10'!IT"&amp;IF('Plot Layout'!K10="",2,'Plot Layout'!K10+1))</f>
        <v>0</v>
      </c>
      <c r="IU11">
        <f ca="1">INDIRECT("'Data 10'!IU"&amp;IF('Plot Layout'!K10="",2,'Plot Layout'!K10+1))</f>
        <v>0</v>
      </c>
      <c r="IV11">
        <f ca="1">INDIRECT("'Data 10'!IV"&amp;IF('Plot Layout'!K10="",2,'Plot Layout'!K10+1))</f>
        <v>0</v>
      </c>
    </row>
    <row r="12" spans="1:256">
      <c r="A12">
        <f ca="1">INDIRECT("'Data 11'!A"&amp;IF('Plot Layout'!L10="",2,'Plot Layout'!L10+1))</f>
        <v>70</v>
      </c>
      <c r="B12">
        <f ca="1">INDIRECT("'Data 11'!B"&amp;IF('Plot Layout'!L10="",2,'Plot Layout'!L10+1))</f>
        <v>0.75</v>
      </c>
      <c r="C12" t="str">
        <f ca="1">INDIRECT("'Data 11'!C"&amp;IF('Plot Layout'!L10="",2,'Plot Layout'!L10+1))</f>
        <v>65-406 1% TER</v>
      </c>
      <c r="D12">
        <f ca="1">INDIRECT("'Data 11'!D"&amp;IF('Plot Layout'!L10="",2,'Plot Layout'!L10+1))</f>
        <v>2.3999999999999998E-3</v>
      </c>
      <c r="E12">
        <f ca="1">INDIRECT("'Data 11'!E"&amp;IF('Plot Layout'!L10="",2,'Plot Layout'!L10+1))</f>
        <v>0.01</v>
      </c>
      <c r="F12">
        <f ca="1">INDIRECT("'Data 11'!F"&amp;IF('Plot Layout'!L10="",2,'Plot Layout'!L10+1))</f>
        <v>0.06</v>
      </c>
      <c r="G12">
        <f ca="1">INDIRECT("'Data 11'!G"&amp;IF('Plot Layout'!L10="",2,'Plot Layout'!L10+1))</f>
        <v>4</v>
      </c>
      <c r="H12">
        <f ca="1">INDIRECT("'Data 11'!H"&amp;IF('Plot Layout'!L10="",2,'Plot Layout'!L10+1))</f>
        <v>0</v>
      </c>
      <c r="I12">
        <f ca="1">INDIRECT("'Data 11'!I"&amp;IF('Plot Layout'!L10="",2,'Plot Layout'!L10+1))</f>
        <v>4.5999999999999996</v>
      </c>
      <c r="J12">
        <f ca="1">INDIRECT("'Data 11'!J"&amp;IF('Plot Layout'!L10="",2,'Plot Layout'!L10+1))</f>
        <v>9.5</v>
      </c>
      <c r="K12">
        <f ca="1">INDIRECT("'Data 11'!K"&amp;IF('Plot Layout'!L10="",2,'Plot Layout'!L10+1))</f>
        <v>13.4</v>
      </c>
      <c r="L12">
        <f ca="1">INDIRECT("'Data 11'!L"&amp;IF('Plot Layout'!L10="",2,'Plot Layout'!L10+1))</f>
        <v>5.3</v>
      </c>
      <c r="M12">
        <f ca="1">INDIRECT("'Data 11'!M"&amp;IF('Plot Layout'!L10="",2,'Plot Layout'!L10+1))</f>
        <v>0.36899999999999999</v>
      </c>
      <c r="N12">
        <f ca="1">INDIRECT("'Data 11'!N"&amp;IF('Plot Layout'!L10="",2,'Plot Layout'!L10+1))</f>
        <v>1.0009999999999999</v>
      </c>
      <c r="O12">
        <f ca="1">INDIRECT("'Data 11'!O"&amp;IF('Plot Layout'!L10="",2,'Plot Layout'!L10+1))</f>
        <v>-1.5</v>
      </c>
      <c r="P12">
        <f ca="1">INDIRECT("'Data 11'!P"&amp;IF('Plot Layout'!L10="",2,'Plot Layout'!L10+1))</f>
        <v>0.5</v>
      </c>
      <c r="Q12">
        <f ca="1">INDIRECT("'Data 11'!Q"&amp;IF('Plot Layout'!L10="",2,'Plot Layout'!L10+1))</f>
        <v>8.9999999999999993E-3</v>
      </c>
      <c r="R12">
        <f ca="1">INDIRECT("'Data 11'!R"&amp;IF('Plot Layout'!L10="",2,'Plot Layout'!L10+1))</f>
        <v>0</v>
      </c>
      <c r="S12">
        <f ca="1">INDIRECT("'Data 11'!S"&amp;IF('Plot Layout'!L10="",2,'Plot Layout'!L10+1))</f>
        <v>0</v>
      </c>
      <c r="T12">
        <f ca="1">INDIRECT("'Data 11'!T"&amp;IF('Plot Layout'!L10="",2,'Plot Layout'!L10+1))</f>
        <v>0</v>
      </c>
      <c r="U12">
        <f ca="1">INDIRECT("'Data 11'!U"&amp;IF('Plot Layout'!L10="",2,'Plot Layout'!L10+1))</f>
        <v>0</v>
      </c>
      <c r="V12">
        <f ca="1">INDIRECT("'Data 11'!V"&amp;IF('Plot Layout'!L10="",2,'Plot Layout'!L10+1))</f>
        <v>0</v>
      </c>
      <c r="W12">
        <f ca="1">INDIRECT("'Data 11'!W"&amp;IF('Plot Layout'!L10="",2,'Plot Layout'!L10+1))</f>
        <v>0</v>
      </c>
      <c r="X12">
        <f ca="1">INDIRECT("'Data 11'!X"&amp;IF('Plot Layout'!L10="",2,'Plot Layout'!L10+1))</f>
        <v>0</v>
      </c>
      <c r="Y12">
        <f ca="1">INDIRECT("'Data 11'!Y"&amp;IF('Plot Layout'!L10="",2,'Plot Layout'!L10+1))</f>
        <v>0</v>
      </c>
      <c r="Z12">
        <f ca="1">INDIRECT("'Data 11'!Z"&amp;IF('Plot Layout'!L10="",2,'Plot Layout'!L10+1))</f>
        <v>0</v>
      </c>
      <c r="AA12">
        <f ca="1">INDIRECT("'Data 11'!AA"&amp;IF('Plot Layout'!L10="",2,'Plot Layout'!L10+1))</f>
        <v>0</v>
      </c>
      <c r="AB12">
        <f ca="1">INDIRECT("'Data 11'!AB"&amp;IF('Plot Layout'!L10="",2,'Plot Layout'!L10+1))</f>
        <v>0</v>
      </c>
      <c r="AC12">
        <f ca="1">INDIRECT("'Data 11'!AC"&amp;IF('Plot Layout'!L10="",2,'Plot Layout'!L10+1))</f>
        <v>0</v>
      </c>
      <c r="AD12">
        <f ca="1">INDIRECT("'Data 11'!AD"&amp;IF('Plot Layout'!L10="",2,'Plot Layout'!L10+1))</f>
        <v>0</v>
      </c>
      <c r="AE12">
        <f ca="1">INDIRECT("'Data 11'!AE"&amp;IF('Plot Layout'!L10="",2,'Plot Layout'!L10+1))</f>
        <v>0</v>
      </c>
      <c r="AF12">
        <f ca="1">INDIRECT("'Data 11'!AF"&amp;IF('Plot Layout'!L10="",2,'Plot Layout'!L10+1))</f>
        <v>0</v>
      </c>
      <c r="AG12">
        <f ca="1">INDIRECT("'Data 11'!AG"&amp;IF('Plot Layout'!L10="",2,'Plot Layout'!L10+1))</f>
        <v>0</v>
      </c>
      <c r="AH12">
        <f ca="1">INDIRECT("'Data 11'!AH"&amp;IF('Plot Layout'!L10="",2,'Plot Layout'!L10+1))</f>
        <v>0</v>
      </c>
      <c r="AI12">
        <f ca="1">INDIRECT("'Data 11'!AI"&amp;IF('Plot Layout'!L10="",2,'Plot Layout'!L10+1))</f>
        <v>0</v>
      </c>
      <c r="AJ12">
        <f ca="1">INDIRECT("'Data 11'!AJ"&amp;IF('Plot Layout'!L10="",2,'Plot Layout'!L10+1))</f>
        <v>0</v>
      </c>
      <c r="AK12">
        <f ca="1">INDIRECT("'Data 11'!AK"&amp;IF('Plot Layout'!L10="",2,'Plot Layout'!L10+1))</f>
        <v>0</v>
      </c>
      <c r="AL12">
        <f ca="1">INDIRECT("'Data 11'!AL"&amp;IF('Plot Layout'!L10="",2,'Plot Layout'!L10+1))</f>
        <v>0</v>
      </c>
      <c r="AM12">
        <f ca="1">INDIRECT("'Data 11'!AM"&amp;IF('Plot Layout'!L10="",2,'Plot Layout'!L10+1))</f>
        <v>0</v>
      </c>
      <c r="AN12">
        <f ca="1">INDIRECT("'Data 11'!AN"&amp;IF('Plot Layout'!L10="",2,'Plot Layout'!L10+1))</f>
        <v>0</v>
      </c>
      <c r="AO12">
        <f ca="1">INDIRECT("'Data 11'!AO"&amp;IF('Plot Layout'!L10="",2,'Plot Layout'!L10+1))</f>
        <v>0</v>
      </c>
      <c r="AP12">
        <f ca="1">INDIRECT("'Data 11'!AP"&amp;IF('Plot Layout'!L10="",2,'Plot Layout'!L10+1))</f>
        <v>0</v>
      </c>
      <c r="AQ12">
        <f ca="1">INDIRECT("'Data 11'!AQ"&amp;IF('Plot Layout'!L10="",2,'Plot Layout'!L10+1))</f>
        <v>0</v>
      </c>
      <c r="AR12">
        <f ca="1">INDIRECT("'Data 11'!AR"&amp;IF('Plot Layout'!L10="",2,'Plot Layout'!L10+1))</f>
        <v>0</v>
      </c>
      <c r="AS12">
        <f ca="1">INDIRECT("'Data 11'!AS"&amp;IF('Plot Layout'!L10="",2,'Plot Layout'!L10+1))</f>
        <v>0</v>
      </c>
      <c r="AT12">
        <f ca="1">INDIRECT("'Data 11'!AT"&amp;IF('Plot Layout'!L10="",2,'Plot Layout'!L10+1))</f>
        <v>0</v>
      </c>
      <c r="AU12">
        <f ca="1">INDIRECT("'Data 11'!AU"&amp;IF('Plot Layout'!L10="",2,'Plot Layout'!L10+1))</f>
        <v>0</v>
      </c>
      <c r="AV12">
        <f ca="1">INDIRECT("'Data 11'!AV"&amp;IF('Plot Layout'!L10="",2,'Plot Layout'!L10+1))</f>
        <v>0</v>
      </c>
      <c r="AW12">
        <f ca="1">INDIRECT("'Data 11'!AW"&amp;IF('Plot Layout'!L10="",2,'Plot Layout'!L10+1))</f>
        <v>0</v>
      </c>
      <c r="AX12">
        <f ca="1">INDIRECT("'Data 11'!AX"&amp;IF('Plot Layout'!L10="",2,'Plot Layout'!L10+1))</f>
        <v>0</v>
      </c>
      <c r="AY12">
        <f ca="1">INDIRECT("'Data 11'!AY"&amp;IF('Plot Layout'!L10="",2,'Plot Layout'!L10+1))</f>
        <v>0</v>
      </c>
      <c r="AZ12">
        <f ca="1">INDIRECT("'Data 11'!AZ"&amp;IF('Plot Layout'!L10="",2,'Plot Layout'!L10+1))</f>
        <v>0</v>
      </c>
      <c r="BA12">
        <f ca="1">INDIRECT("'Data 11'!BA"&amp;IF('Plot Layout'!L10="",2,'Plot Layout'!L10+1))</f>
        <v>0</v>
      </c>
      <c r="BB12">
        <f ca="1">INDIRECT("'Data 11'!BB"&amp;IF('Plot Layout'!L10="",2,'Plot Layout'!L10+1))</f>
        <v>0</v>
      </c>
      <c r="BC12">
        <f ca="1">INDIRECT("'Data 11'!BC"&amp;IF('Plot Layout'!L10="",2,'Plot Layout'!L10+1))</f>
        <v>0</v>
      </c>
      <c r="BD12">
        <f ca="1">INDIRECT("'Data 11'!BD"&amp;IF('Plot Layout'!L10="",2,'Plot Layout'!L10+1))</f>
        <v>0</v>
      </c>
      <c r="BE12">
        <f ca="1">INDIRECT("'Data 11'!BE"&amp;IF('Plot Layout'!L10="",2,'Plot Layout'!L10+1))</f>
        <v>0</v>
      </c>
      <c r="BF12">
        <f ca="1">INDIRECT("'Data 11'!BF"&amp;IF('Plot Layout'!L10="",2,'Plot Layout'!L10+1))</f>
        <v>0</v>
      </c>
      <c r="BG12">
        <f ca="1">INDIRECT("'Data 11'!BG"&amp;IF('Plot Layout'!L10="",2,'Plot Layout'!L10+1))</f>
        <v>0</v>
      </c>
      <c r="BH12">
        <f ca="1">INDIRECT("'Data 11'!BH"&amp;IF('Plot Layout'!L10="",2,'Plot Layout'!L10+1))</f>
        <v>0</v>
      </c>
      <c r="BI12">
        <f ca="1">INDIRECT("'Data 11'!BI"&amp;IF('Plot Layout'!L10="",2,'Plot Layout'!L10+1))</f>
        <v>0</v>
      </c>
      <c r="BJ12">
        <f ca="1">INDIRECT("'Data 11'!BJ"&amp;IF('Plot Layout'!L10="",2,'Plot Layout'!L10+1))</f>
        <v>0</v>
      </c>
      <c r="BK12">
        <f ca="1">INDIRECT("'Data 11'!BK"&amp;IF('Plot Layout'!L10="",2,'Plot Layout'!L10+1))</f>
        <v>0</v>
      </c>
      <c r="BL12">
        <f ca="1">INDIRECT("'Data 11'!BL"&amp;IF('Plot Layout'!L10="",2,'Plot Layout'!L10+1))</f>
        <v>0</v>
      </c>
      <c r="BM12">
        <f ca="1">INDIRECT("'Data 11'!BM"&amp;IF('Plot Layout'!L10="",2,'Plot Layout'!L10+1))</f>
        <v>0</v>
      </c>
      <c r="BN12">
        <f ca="1">INDIRECT("'Data 11'!BN"&amp;IF('Plot Layout'!L10="",2,'Plot Layout'!L10+1))</f>
        <v>0</v>
      </c>
      <c r="BO12">
        <f ca="1">INDIRECT("'Data 11'!BO"&amp;IF('Plot Layout'!L10="",2,'Plot Layout'!L10+1))</f>
        <v>0</v>
      </c>
      <c r="BP12">
        <f ca="1">INDIRECT("'Data 11'!BP"&amp;IF('Plot Layout'!L10="",2,'Plot Layout'!L10+1))</f>
        <v>0</v>
      </c>
      <c r="BQ12">
        <f ca="1">INDIRECT("'Data 11'!BQ"&amp;IF('Plot Layout'!L10="",2,'Plot Layout'!L10+1))</f>
        <v>0</v>
      </c>
      <c r="BR12">
        <f ca="1">INDIRECT("'Data 11'!BR"&amp;IF('Plot Layout'!L10="",2,'Plot Layout'!L10+1))</f>
        <v>0</v>
      </c>
      <c r="BS12">
        <f ca="1">INDIRECT("'Data 11'!BS"&amp;IF('Plot Layout'!L10="",2,'Plot Layout'!L10+1))</f>
        <v>0</v>
      </c>
      <c r="BT12">
        <f ca="1">INDIRECT("'Data 11'!BT"&amp;IF('Plot Layout'!L10="",2,'Plot Layout'!L10+1))</f>
        <v>0</v>
      </c>
      <c r="BU12">
        <f ca="1">INDIRECT("'Data 11'!BU"&amp;IF('Plot Layout'!L10="",2,'Plot Layout'!L10+1))</f>
        <v>0</v>
      </c>
      <c r="BV12">
        <f ca="1">INDIRECT("'Data 11'!BV"&amp;IF('Plot Layout'!L10="",2,'Plot Layout'!L10+1))</f>
        <v>0</v>
      </c>
      <c r="BW12">
        <f ca="1">INDIRECT("'Data 11'!BW"&amp;IF('Plot Layout'!L10="",2,'Plot Layout'!L10+1))</f>
        <v>0</v>
      </c>
      <c r="BX12">
        <f ca="1">INDIRECT("'Data 11'!BX"&amp;IF('Plot Layout'!L10="",2,'Plot Layout'!L10+1))</f>
        <v>0</v>
      </c>
      <c r="BY12">
        <f ca="1">INDIRECT("'Data 11'!BY"&amp;IF('Plot Layout'!L10="",2,'Plot Layout'!L10+1))</f>
        <v>0</v>
      </c>
      <c r="BZ12">
        <f ca="1">INDIRECT("'Data 11'!BZ"&amp;IF('Plot Layout'!L10="",2,'Plot Layout'!L10+1))</f>
        <v>0</v>
      </c>
      <c r="CA12">
        <f ca="1">INDIRECT("'Data 11'!CA"&amp;IF('Plot Layout'!L10="",2,'Plot Layout'!L10+1))</f>
        <v>0</v>
      </c>
      <c r="CB12">
        <f ca="1">INDIRECT("'Data 11'!CB"&amp;IF('Plot Layout'!L10="",2,'Plot Layout'!L10+1))</f>
        <v>0</v>
      </c>
      <c r="CC12">
        <f ca="1">INDIRECT("'Data 11'!CC"&amp;IF('Plot Layout'!L10="",2,'Plot Layout'!L10+1))</f>
        <v>0</v>
      </c>
      <c r="CD12">
        <f ca="1">INDIRECT("'Data 11'!CD"&amp;IF('Plot Layout'!L10="",2,'Plot Layout'!L10+1))</f>
        <v>0</v>
      </c>
      <c r="CE12">
        <f ca="1">INDIRECT("'Data 11'!CE"&amp;IF('Plot Layout'!L10="",2,'Plot Layout'!L10+1))</f>
        <v>0</v>
      </c>
      <c r="CF12">
        <f ca="1">INDIRECT("'Data 11'!CF"&amp;IF('Plot Layout'!L10="",2,'Plot Layout'!L10+1))</f>
        <v>0</v>
      </c>
      <c r="CG12">
        <f ca="1">INDIRECT("'Data 11'!CG"&amp;IF('Plot Layout'!L10="",2,'Plot Layout'!L10+1))</f>
        <v>0</v>
      </c>
      <c r="CH12">
        <f ca="1">INDIRECT("'Data 11'!CH"&amp;IF('Plot Layout'!L10="",2,'Plot Layout'!L10+1))</f>
        <v>0</v>
      </c>
      <c r="CI12">
        <f ca="1">INDIRECT("'Data 11'!CI"&amp;IF('Plot Layout'!L10="",2,'Plot Layout'!L10+1))</f>
        <v>0</v>
      </c>
      <c r="CJ12">
        <f ca="1">INDIRECT("'Data 11'!CJ"&amp;IF('Plot Layout'!L10="",2,'Plot Layout'!L10+1))</f>
        <v>0</v>
      </c>
      <c r="CK12">
        <f ca="1">INDIRECT("'Data 11'!CK"&amp;IF('Plot Layout'!L10="",2,'Plot Layout'!L10+1))</f>
        <v>0</v>
      </c>
      <c r="CL12">
        <f ca="1">INDIRECT("'Data 11'!CL"&amp;IF('Plot Layout'!L10="",2,'Plot Layout'!L10+1))</f>
        <v>0</v>
      </c>
      <c r="CM12">
        <f ca="1">INDIRECT("'Data 11'!CM"&amp;IF('Plot Layout'!L10="",2,'Plot Layout'!L10+1))</f>
        <v>0</v>
      </c>
      <c r="CN12">
        <f ca="1">INDIRECT("'Data 11'!CN"&amp;IF('Plot Layout'!L10="",2,'Plot Layout'!L10+1))</f>
        <v>0</v>
      </c>
      <c r="CO12">
        <f ca="1">INDIRECT("'Data 11'!CO"&amp;IF('Plot Layout'!L10="",2,'Plot Layout'!L10+1))</f>
        <v>0</v>
      </c>
      <c r="CP12">
        <f ca="1">INDIRECT("'Data 11'!CP"&amp;IF('Plot Layout'!L10="",2,'Plot Layout'!L10+1))</f>
        <v>0</v>
      </c>
      <c r="CQ12">
        <f ca="1">INDIRECT("'Data 11'!CQ"&amp;IF('Plot Layout'!L10="",2,'Plot Layout'!L10+1))</f>
        <v>0</v>
      </c>
      <c r="CR12">
        <f ca="1">INDIRECT("'Data 11'!CR"&amp;IF('Plot Layout'!L10="",2,'Plot Layout'!L10+1))</f>
        <v>0</v>
      </c>
      <c r="CS12">
        <f ca="1">INDIRECT("'Data 11'!CS"&amp;IF('Plot Layout'!L10="",2,'Plot Layout'!L10+1))</f>
        <v>0</v>
      </c>
      <c r="CT12">
        <f ca="1">INDIRECT("'Data 11'!CT"&amp;IF('Plot Layout'!L10="",2,'Plot Layout'!L10+1))</f>
        <v>0</v>
      </c>
      <c r="CU12">
        <f ca="1">INDIRECT("'Data 11'!CU"&amp;IF('Plot Layout'!L10="",2,'Plot Layout'!L10+1))</f>
        <v>0</v>
      </c>
      <c r="CV12">
        <f ca="1">INDIRECT("'Data 11'!CV"&amp;IF('Plot Layout'!L10="",2,'Plot Layout'!L10+1))</f>
        <v>0</v>
      </c>
      <c r="CW12">
        <f ca="1">INDIRECT("'Data 11'!CW"&amp;IF('Plot Layout'!L10="",2,'Plot Layout'!L10+1))</f>
        <v>0</v>
      </c>
      <c r="CX12">
        <f ca="1">INDIRECT("'Data 11'!CX"&amp;IF('Plot Layout'!L10="",2,'Plot Layout'!L10+1))</f>
        <v>0</v>
      </c>
      <c r="CY12">
        <f ca="1">INDIRECT("'Data 11'!CY"&amp;IF('Plot Layout'!L10="",2,'Plot Layout'!L10+1))</f>
        <v>0</v>
      </c>
      <c r="CZ12">
        <f ca="1">INDIRECT("'Data 11'!CZ"&amp;IF('Plot Layout'!L10="",2,'Plot Layout'!L10+1))</f>
        <v>0</v>
      </c>
      <c r="DA12">
        <f ca="1">INDIRECT("'Data 11'!DA"&amp;IF('Plot Layout'!L10="",2,'Plot Layout'!L10+1))</f>
        <v>0</v>
      </c>
      <c r="DB12">
        <f ca="1">INDIRECT("'Data 11'!DB"&amp;IF('Plot Layout'!L10="",2,'Plot Layout'!L10+1))</f>
        <v>0</v>
      </c>
      <c r="DC12">
        <f ca="1">INDIRECT("'Data 11'!DC"&amp;IF('Plot Layout'!L10="",2,'Plot Layout'!L10+1))</f>
        <v>0</v>
      </c>
      <c r="DD12">
        <f ca="1">INDIRECT("'Data 11'!DD"&amp;IF('Plot Layout'!L10="",2,'Plot Layout'!L10+1))</f>
        <v>0</v>
      </c>
      <c r="DE12">
        <f ca="1">INDIRECT("'Data 11'!DE"&amp;IF('Plot Layout'!L10="",2,'Plot Layout'!L10+1))</f>
        <v>0</v>
      </c>
      <c r="DF12">
        <f ca="1">INDIRECT("'Data 11'!DF"&amp;IF('Plot Layout'!L10="",2,'Plot Layout'!L10+1))</f>
        <v>0</v>
      </c>
      <c r="DG12">
        <f ca="1">INDIRECT("'Data 11'!DG"&amp;IF('Plot Layout'!L10="",2,'Plot Layout'!L10+1))</f>
        <v>0</v>
      </c>
      <c r="DH12">
        <f ca="1">INDIRECT("'Data 11'!DH"&amp;IF('Plot Layout'!L10="",2,'Plot Layout'!L10+1))</f>
        <v>0</v>
      </c>
      <c r="DI12">
        <f ca="1">INDIRECT("'Data 11'!DI"&amp;IF('Plot Layout'!L10="",2,'Plot Layout'!L10+1))</f>
        <v>0</v>
      </c>
      <c r="DJ12">
        <f ca="1">INDIRECT("'Data 11'!DJ"&amp;IF('Plot Layout'!L10="",2,'Plot Layout'!L10+1))</f>
        <v>0</v>
      </c>
      <c r="DK12">
        <f ca="1">INDIRECT("'Data 11'!DK"&amp;IF('Plot Layout'!L10="",2,'Plot Layout'!L10+1))</f>
        <v>0</v>
      </c>
      <c r="DL12">
        <f ca="1">INDIRECT("'Data 11'!DL"&amp;IF('Plot Layout'!L10="",2,'Plot Layout'!L10+1))</f>
        <v>0</v>
      </c>
      <c r="DM12">
        <f ca="1">INDIRECT("'Data 11'!DM"&amp;IF('Plot Layout'!L10="",2,'Plot Layout'!L10+1))</f>
        <v>0</v>
      </c>
      <c r="DN12">
        <f ca="1">INDIRECT("'Data 11'!DN"&amp;IF('Plot Layout'!L10="",2,'Plot Layout'!L10+1))</f>
        <v>0</v>
      </c>
      <c r="DO12">
        <f ca="1">INDIRECT("'Data 11'!DO"&amp;IF('Plot Layout'!L10="",2,'Plot Layout'!L10+1))</f>
        <v>0</v>
      </c>
      <c r="DP12">
        <f ca="1">INDIRECT("'Data 11'!DP"&amp;IF('Plot Layout'!L10="",2,'Plot Layout'!L10+1))</f>
        <v>0</v>
      </c>
      <c r="DQ12">
        <f ca="1">INDIRECT("'Data 11'!DQ"&amp;IF('Plot Layout'!L10="",2,'Plot Layout'!L10+1))</f>
        <v>0</v>
      </c>
      <c r="DR12">
        <f ca="1">INDIRECT("'Data 11'!DR"&amp;IF('Plot Layout'!L10="",2,'Plot Layout'!L10+1))</f>
        <v>0</v>
      </c>
      <c r="DS12">
        <f ca="1">INDIRECT("'Data 11'!DS"&amp;IF('Plot Layout'!L10="",2,'Plot Layout'!L10+1))</f>
        <v>0</v>
      </c>
      <c r="DT12">
        <f ca="1">INDIRECT("'Data 11'!DT"&amp;IF('Plot Layout'!L10="",2,'Plot Layout'!L10+1))</f>
        <v>0</v>
      </c>
      <c r="DU12">
        <f ca="1">INDIRECT("'Data 11'!DU"&amp;IF('Plot Layout'!L10="",2,'Plot Layout'!L10+1))</f>
        <v>0</v>
      </c>
      <c r="DV12">
        <f ca="1">INDIRECT("'Data 11'!DV"&amp;IF('Plot Layout'!L10="",2,'Plot Layout'!L10+1))</f>
        <v>0</v>
      </c>
      <c r="DW12">
        <f ca="1">INDIRECT("'Data 11'!DW"&amp;IF('Plot Layout'!L10="",2,'Plot Layout'!L10+1))</f>
        <v>0</v>
      </c>
      <c r="DX12">
        <f ca="1">INDIRECT("'Data 11'!DX"&amp;IF('Plot Layout'!L10="",2,'Plot Layout'!L10+1))</f>
        <v>0</v>
      </c>
      <c r="DY12">
        <f ca="1">INDIRECT("'Data 11'!DY"&amp;IF('Plot Layout'!L10="",2,'Plot Layout'!L10+1))</f>
        <v>0</v>
      </c>
      <c r="DZ12">
        <f ca="1">INDIRECT("'Data 11'!DZ"&amp;IF('Plot Layout'!L10="",2,'Plot Layout'!L10+1))</f>
        <v>0</v>
      </c>
      <c r="EA12">
        <f ca="1">INDIRECT("'Data 11'!EA"&amp;IF('Plot Layout'!L10="",2,'Plot Layout'!L10+1))</f>
        <v>0</v>
      </c>
      <c r="EB12">
        <f ca="1">INDIRECT("'Data 11'!EB"&amp;IF('Plot Layout'!L10="",2,'Plot Layout'!L10+1))</f>
        <v>0</v>
      </c>
      <c r="EC12">
        <f ca="1">INDIRECT("'Data 11'!EC"&amp;IF('Plot Layout'!L10="",2,'Plot Layout'!L10+1))</f>
        <v>0</v>
      </c>
      <c r="ED12">
        <f ca="1">INDIRECT("'Data 11'!ED"&amp;IF('Plot Layout'!L10="",2,'Plot Layout'!L10+1))</f>
        <v>0</v>
      </c>
      <c r="EE12">
        <f ca="1">INDIRECT("'Data 11'!EE"&amp;IF('Plot Layout'!L10="",2,'Plot Layout'!L10+1))</f>
        <v>0</v>
      </c>
      <c r="EF12">
        <f ca="1">INDIRECT("'Data 11'!EF"&amp;IF('Plot Layout'!L10="",2,'Plot Layout'!L10+1))</f>
        <v>0</v>
      </c>
      <c r="EG12">
        <f ca="1">INDIRECT("'Data 11'!EG"&amp;IF('Plot Layout'!L10="",2,'Plot Layout'!L10+1))</f>
        <v>0</v>
      </c>
      <c r="EH12">
        <f ca="1">INDIRECT("'Data 11'!EH"&amp;IF('Plot Layout'!L10="",2,'Plot Layout'!L10+1))</f>
        <v>0</v>
      </c>
      <c r="EI12">
        <f ca="1">INDIRECT("'Data 11'!EI"&amp;IF('Plot Layout'!L10="",2,'Plot Layout'!L10+1))</f>
        <v>0</v>
      </c>
      <c r="EJ12">
        <f ca="1">INDIRECT("'Data 11'!EJ"&amp;IF('Plot Layout'!L10="",2,'Plot Layout'!L10+1))</f>
        <v>0</v>
      </c>
      <c r="EK12">
        <f ca="1">INDIRECT("'Data 11'!EK"&amp;IF('Plot Layout'!L10="",2,'Plot Layout'!L10+1))</f>
        <v>0</v>
      </c>
      <c r="EL12">
        <f ca="1">INDIRECT("'Data 11'!EL"&amp;IF('Plot Layout'!L10="",2,'Plot Layout'!L10+1))</f>
        <v>0</v>
      </c>
      <c r="EM12">
        <f ca="1">INDIRECT("'Data 11'!EM"&amp;IF('Plot Layout'!L10="",2,'Plot Layout'!L10+1))</f>
        <v>0</v>
      </c>
      <c r="EN12">
        <f ca="1">INDIRECT("'Data 11'!EN"&amp;IF('Plot Layout'!L10="",2,'Plot Layout'!L10+1))</f>
        <v>0</v>
      </c>
      <c r="EO12">
        <f ca="1">INDIRECT("'Data 11'!EO"&amp;IF('Plot Layout'!L10="",2,'Plot Layout'!L10+1))</f>
        <v>0</v>
      </c>
      <c r="EP12">
        <f ca="1">INDIRECT("'Data 11'!EP"&amp;IF('Plot Layout'!L10="",2,'Plot Layout'!L10+1))</f>
        <v>0</v>
      </c>
      <c r="EQ12">
        <f ca="1">INDIRECT("'Data 11'!EQ"&amp;IF('Plot Layout'!L10="",2,'Plot Layout'!L10+1))</f>
        <v>0</v>
      </c>
      <c r="ER12">
        <f ca="1">INDIRECT("'Data 11'!ER"&amp;IF('Plot Layout'!L10="",2,'Plot Layout'!L10+1))</f>
        <v>0</v>
      </c>
      <c r="ES12">
        <f ca="1">INDIRECT("'Data 11'!ES"&amp;IF('Plot Layout'!L10="",2,'Plot Layout'!L10+1))</f>
        <v>0</v>
      </c>
      <c r="ET12">
        <f ca="1">INDIRECT("'Data 11'!ET"&amp;IF('Plot Layout'!L10="",2,'Plot Layout'!L10+1))</f>
        <v>0</v>
      </c>
      <c r="EU12">
        <f ca="1">INDIRECT("'Data 11'!EU"&amp;IF('Plot Layout'!L10="",2,'Plot Layout'!L10+1))</f>
        <v>0</v>
      </c>
      <c r="EV12">
        <f ca="1">INDIRECT("'Data 11'!EV"&amp;IF('Plot Layout'!L10="",2,'Plot Layout'!L10+1))</f>
        <v>0</v>
      </c>
      <c r="EW12">
        <f ca="1">INDIRECT("'Data 11'!EW"&amp;IF('Plot Layout'!L10="",2,'Plot Layout'!L10+1))</f>
        <v>0</v>
      </c>
      <c r="EX12">
        <f ca="1">INDIRECT("'Data 11'!EX"&amp;IF('Plot Layout'!L10="",2,'Plot Layout'!L10+1))</f>
        <v>0</v>
      </c>
      <c r="EY12">
        <f ca="1">INDIRECT("'Data 11'!EY"&amp;IF('Plot Layout'!L10="",2,'Plot Layout'!L10+1))</f>
        <v>0</v>
      </c>
      <c r="EZ12">
        <f ca="1">INDIRECT("'Data 11'!EZ"&amp;IF('Plot Layout'!L10="",2,'Plot Layout'!L10+1))</f>
        <v>0</v>
      </c>
      <c r="FA12">
        <f ca="1">INDIRECT("'Data 11'!FA"&amp;IF('Plot Layout'!L10="",2,'Plot Layout'!L10+1))</f>
        <v>0</v>
      </c>
      <c r="FB12">
        <f ca="1">INDIRECT("'Data 11'!FB"&amp;IF('Plot Layout'!L10="",2,'Plot Layout'!L10+1))</f>
        <v>0</v>
      </c>
      <c r="FC12">
        <f ca="1">INDIRECT("'Data 11'!FC"&amp;IF('Plot Layout'!L10="",2,'Plot Layout'!L10+1))</f>
        <v>0</v>
      </c>
      <c r="FD12">
        <f ca="1">INDIRECT("'Data 11'!FD"&amp;IF('Plot Layout'!L10="",2,'Plot Layout'!L10+1))</f>
        <v>0</v>
      </c>
      <c r="FE12">
        <f ca="1">INDIRECT("'Data 11'!FE"&amp;IF('Plot Layout'!L10="",2,'Plot Layout'!L10+1))</f>
        <v>0</v>
      </c>
      <c r="FF12">
        <f ca="1">INDIRECT("'Data 11'!FF"&amp;IF('Plot Layout'!L10="",2,'Plot Layout'!L10+1))</f>
        <v>0</v>
      </c>
      <c r="FG12">
        <f ca="1">INDIRECT("'Data 11'!FG"&amp;IF('Plot Layout'!L10="",2,'Plot Layout'!L10+1))</f>
        <v>0</v>
      </c>
      <c r="FH12">
        <f ca="1">INDIRECT("'Data 11'!FH"&amp;IF('Plot Layout'!L10="",2,'Plot Layout'!L10+1))</f>
        <v>0</v>
      </c>
      <c r="FI12">
        <f ca="1">INDIRECT("'Data 11'!FI"&amp;IF('Plot Layout'!L10="",2,'Plot Layout'!L10+1))</f>
        <v>0</v>
      </c>
      <c r="FJ12">
        <f ca="1">INDIRECT("'Data 11'!FJ"&amp;IF('Plot Layout'!L10="",2,'Plot Layout'!L10+1))</f>
        <v>0</v>
      </c>
      <c r="FK12">
        <f ca="1">INDIRECT("'Data 11'!FK"&amp;IF('Plot Layout'!L10="",2,'Plot Layout'!L10+1))</f>
        <v>0</v>
      </c>
      <c r="FL12">
        <f ca="1">INDIRECT("'Data 11'!FL"&amp;IF('Plot Layout'!L10="",2,'Plot Layout'!L10+1))</f>
        <v>0</v>
      </c>
      <c r="FM12">
        <f ca="1">INDIRECT("'Data 11'!FM"&amp;IF('Plot Layout'!L10="",2,'Plot Layout'!L10+1))</f>
        <v>0</v>
      </c>
      <c r="FN12">
        <f ca="1">INDIRECT("'Data 11'!FN"&amp;IF('Plot Layout'!L10="",2,'Plot Layout'!L10+1))</f>
        <v>0</v>
      </c>
      <c r="FO12">
        <f ca="1">INDIRECT("'Data 11'!FO"&amp;IF('Plot Layout'!L10="",2,'Plot Layout'!L10+1))</f>
        <v>0</v>
      </c>
      <c r="FP12">
        <f ca="1">INDIRECT("'Data 11'!FP"&amp;IF('Plot Layout'!L10="",2,'Plot Layout'!L10+1))</f>
        <v>0</v>
      </c>
      <c r="FQ12">
        <f ca="1">INDIRECT("'Data 11'!FQ"&amp;IF('Plot Layout'!L10="",2,'Plot Layout'!L10+1))</f>
        <v>0</v>
      </c>
      <c r="FR12">
        <f ca="1">INDIRECT("'Data 11'!FR"&amp;IF('Plot Layout'!L10="",2,'Plot Layout'!L10+1))</f>
        <v>0</v>
      </c>
      <c r="FS12">
        <f ca="1">INDIRECT("'Data 11'!FS"&amp;IF('Plot Layout'!L10="",2,'Plot Layout'!L10+1))</f>
        <v>0</v>
      </c>
      <c r="FT12">
        <f ca="1">INDIRECT("'Data 11'!FT"&amp;IF('Plot Layout'!L10="",2,'Plot Layout'!L10+1))</f>
        <v>0</v>
      </c>
      <c r="FU12">
        <f ca="1">INDIRECT("'Data 11'!FU"&amp;IF('Plot Layout'!L10="",2,'Plot Layout'!L10+1))</f>
        <v>0</v>
      </c>
      <c r="FV12">
        <f ca="1">INDIRECT("'Data 11'!FV"&amp;IF('Plot Layout'!L10="",2,'Plot Layout'!L10+1))</f>
        <v>0</v>
      </c>
      <c r="FW12">
        <f ca="1">INDIRECT("'Data 11'!FW"&amp;IF('Plot Layout'!L10="",2,'Plot Layout'!L10+1))</f>
        <v>0</v>
      </c>
      <c r="FX12">
        <f ca="1">INDIRECT("'Data 11'!FX"&amp;IF('Plot Layout'!L10="",2,'Plot Layout'!L10+1))</f>
        <v>0</v>
      </c>
      <c r="FY12">
        <f ca="1">INDIRECT("'Data 11'!FY"&amp;IF('Plot Layout'!L10="",2,'Plot Layout'!L10+1))</f>
        <v>0</v>
      </c>
      <c r="FZ12">
        <f ca="1">INDIRECT("'Data 11'!FZ"&amp;IF('Plot Layout'!L10="",2,'Plot Layout'!L10+1))</f>
        <v>0</v>
      </c>
      <c r="GA12">
        <f ca="1">INDIRECT("'Data 11'!GA"&amp;IF('Plot Layout'!L10="",2,'Plot Layout'!L10+1))</f>
        <v>0</v>
      </c>
      <c r="GB12">
        <f ca="1">INDIRECT("'Data 11'!GB"&amp;IF('Plot Layout'!L10="",2,'Plot Layout'!L10+1))</f>
        <v>0</v>
      </c>
      <c r="GC12">
        <f ca="1">INDIRECT("'Data 11'!GC"&amp;IF('Plot Layout'!L10="",2,'Plot Layout'!L10+1))</f>
        <v>0</v>
      </c>
      <c r="GD12">
        <f ca="1">INDIRECT("'Data 11'!GD"&amp;IF('Plot Layout'!L10="",2,'Plot Layout'!L10+1))</f>
        <v>0</v>
      </c>
      <c r="GE12">
        <f ca="1">INDIRECT("'Data 11'!GE"&amp;IF('Plot Layout'!L10="",2,'Plot Layout'!L10+1))</f>
        <v>0</v>
      </c>
      <c r="GF12">
        <f ca="1">INDIRECT("'Data 11'!GF"&amp;IF('Plot Layout'!L10="",2,'Plot Layout'!L10+1))</f>
        <v>0</v>
      </c>
      <c r="GG12">
        <f ca="1">INDIRECT("'Data 11'!GG"&amp;IF('Plot Layout'!L10="",2,'Plot Layout'!L10+1))</f>
        <v>0</v>
      </c>
      <c r="GH12">
        <f ca="1">INDIRECT("'Data 11'!GH"&amp;IF('Plot Layout'!L10="",2,'Plot Layout'!L10+1))</f>
        <v>0</v>
      </c>
      <c r="GI12">
        <f ca="1">INDIRECT("'Data 11'!GI"&amp;IF('Plot Layout'!L10="",2,'Plot Layout'!L10+1))</f>
        <v>0</v>
      </c>
      <c r="GJ12">
        <f ca="1">INDIRECT("'Data 11'!GJ"&amp;IF('Plot Layout'!L10="",2,'Plot Layout'!L10+1))</f>
        <v>0</v>
      </c>
      <c r="GK12">
        <f ca="1">INDIRECT("'Data 11'!GK"&amp;IF('Plot Layout'!L10="",2,'Plot Layout'!L10+1))</f>
        <v>0</v>
      </c>
      <c r="GL12">
        <f ca="1">INDIRECT("'Data 11'!GL"&amp;IF('Plot Layout'!L10="",2,'Plot Layout'!L10+1))</f>
        <v>0</v>
      </c>
      <c r="GM12">
        <f ca="1">INDIRECT("'Data 11'!GM"&amp;IF('Plot Layout'!L10="",2,'Plot Layout'!L10+1))</f>
        <v>0</v>
      </c>
      <c r="GN12">
        <f ca="1">INDIRECT("'Data 11'!GN"&amp;IF('Plot Layout'!L10="",2,'Plot Layout'!L10+1))</f>
        <v>0</v>
      </c>
      <c r="GO12">
        <f ca="1">INDIRECT("'Data 11'!GO"&amp;IF('Plot Layout'!L10="",2,'Plot Layout'!L10+1))</f>
        <v>0</v>
      </c>
      <c r="GP12">
        <f ca="1">INDIRECT("'Data 11'!GP"&amp;IF('Plot Layout'!L10="",2,'Plot Layout'!L10+1))</f>
        <v>0</v>
      </c>
      <c r="GQ12">
        <f ca="1">INDIRECT("'Data 11'!GQ"&amp;IF('Plot Layout'!L10="",2,'Plot Layout'!L10+1))</f>
        <v>0</v>
      </c>
      <c r="GR12">
        <f ca="1">INDIRECT("'Data 11'!GR"&amp;IF('Plot Layout'!L10="",2,'Plot Layout'!L10+1))</f>
        <v>0</v>
      </c>
      <c r="GS12">
        <f ca="1">INDIRECT("'Data 11'!GS"&amp;IF('Plot Layout'!L10="",2,'Plot Layout'!L10+1))</f>
        <v>0</v>
      </c>
      <c r="GT12">
        <f ca="1">INDIRECT("'Data 11'!GT"&amp;IF('Plot Layout'!L10="",2,'Plot Layout'!L10+1))</f>
        <v>0</v>
      </c>
      <c r="GU12">
        <f ca="1">INDIRECT("'Data 11'!GU"&amp;IF('Plot Layout'!L10="",2,'Plot Layout'!L10+1))</f>
        <v>0</v>
      </c>
      <c r="GV12">
        <f ca="1">INDIRECT("'Data 11'!GV"&amp;IF('Plot Layout'!L10="",2,'Plot Layout'!L10+1))</f>
        <v>0</v>
      </c>
      <c r="GW12">
        <f ca="1">INDIRECT("'Data 11'!GW"&amp;IF('Plot Layout'!L10="",2,'Plot Layout'!L10+1))</f>
        <v>0</v>
      </c>
      <c r="GX12">
        <f ca="1">INDIRECT("'Data 11'!GX"&amp;IF('Plot Layout'!L10="",2,'Plot Layout'!L10+1))</f>
        <v>0</v>
      </c>
      <c r="GY12">
        <f ca="1">INDIRECT("'Data 11'!GY"&amp;IF('Plot Layout'!L10="",2,'Plot Layout'!L10+1))</f>
        <v>0</v>
      </c>
      <c r="GZ12">
        <f ca="1">INDIRECT("'Data 11'!GZ"&amp;IF('Plot Layout'!L10="",2,'Plot Layout'!L10+1))</f>
        <v>0</v>
      </c>
      <c r="HA12">
        <f ca="1">INDIRECT("'Data 11'!HA"&amp;IF('Plot Layout'!L10="",2,'Plot Layout'!L10+1))</f>
        <v>0</v>
      </c>
      <c r="HB12">
        <f ca="1">INDIRECT("'Data 11'!HB"&amp;IF('Plot Layout'!L10="",2,'Plot Layout'!L10+1))</f>
        <v>0</v>
      </c>
      <c r="HC12">
        <f ca="1">INDIRECT("'Data 11'!HC"&amp;IF('Plot Layout'!L10="",2,'Plot Layout'!L10+1))</f>
        <v>0</v>
      </c>
      <c r="HD12">
        <f ca="1">INDIRECT("'Data 11'!HD"&amp;IF('Plot Layout'!L10="",2,'Plot Layout'!L10+1))</f>
        <v>0</v>
      </c>
      <c r="HE12">
        <f ca="1">INDIRECT("'Data 11'!HE"&amp;IF('Plot Layout'!L10="",2,'Plot Layout'!L10+1))</f>
        <v>0</v>
      </c>
      <c r="HF12">
        <f ca="1">INDIRECT("'Data 11'!HF"&amp;IF('Plot Layout'!L10="",2,'Plot Layout'!L10+1))</f>
        <v>0</v>
      </c>
      <c r="HG12">
        <f ca="1">INDIRECT("'Data 11'!HG"&amp;IF('Plot Layout'!L10="",2,'Plot Layout'!L10+1))</f>
        <v>0</v>
      </c>
      <c r="HH12">
        <f ca="1">INDIRECT("'Data 11'!HH"&amp;IF('Plot Layout'!L10="",2,'Plot Layout'!L10+1))</f>
        <v>0</v>
      </c>
      <c r="HI12">
        <f ca="1">INDIRECT("'Data 11'!HI"&amp;IF('Plot Layout'!L10="",2,'Plot Layout'!L10+1))</f>
        <v>0</v>
      </c>
      <c r="HJ12">
        <f ca="1">INDIRECT("'Data 11'!HJ"&amp;IF('Plot Layout'!L10="",2,'Plot Layout'!L10+1))</f>
        <v>0</v>
      </c>
      <c r="HK12">
        <f ca="1">INDIRECT("'Data 11'!HK"&amp;IF('Plot Layout'!L10="",2,'Plot Layout'!L10+1))</f>
        <v>0</v>
      </c>
      <c r="HL12">
        <f ca="1">INDIRECT("'Data 11'!HL"&amp;IF('Plot Layout'!L10="",2,'Plot Layout'!L10+1))</f>
        <v>0</v>
      </c>
      <c r="HM12">
        <f ca="1">INDIRECT("'Data 11'!HM"&amp;IF('Plot Layout'!L10="",2,'Plot Layout'!L10+1))</f>
        <v>0</v>
      </c>
      <c r="HN12">
        <f ca="1">INDIRECT("'Data 11'!HN"&amp;IF('Plot Layout'!L10="",2,'Plot Layout'!L10+1))</f>
        <v>0</v>
      </c>
      <c r="HO12">
        <f ca="1">INDIRECT("'Data 11'!HO"&amp;IF('Plot Layout'!L10="",2,'Plot Layout'!L10+1))</f>
        <v>0</v>
      </c>
      <c r="HP12">
        <f ca="1">INDIRECT("'Data 11'!HP"&amp;IF('Plot Layout'!L10="",2,'Plot Layout'!L10+1))</f>
        <v>0</v>
      </c>
      <c r="HQ12">
        <f ca="1">INDIRECT("'Data 11'!HQ"&amp;IF('Plot Layout'!L10="",2,'Plot Layout'!L10+1))</f>
        <v>0</v>
      </c>
      <c r="HR12">
        <f ca="1">INDIRECT("'Data 11'!HR"&amp;IF('Plot Layout'!L10="",2,'Plot Layout'!L10+1))</f>
        <v>0</v>
      </c>
      <c r="HS12">
        <f ca="1">INDIRECT("'Data 11'!HS"&amp;IF('Plot Layout'!L10="",2,'Plot Layout'!L10+1))</f>
        <v>0</v>
      </c>
      <c r="HT12">
        <f ca="1">INDIRECT("'Data 11'!HT"&amp;IF('Plot Layout'!L10="",2,'Plot Layout'!L10+1))</f>
        <v>0</v>
      </c>
      <c r="HU12">
        <f ca="1">INDIRECT("'Data 11'!HU"&amp;IF('Plot Layout'!L10="",2,'Plot Layout'!L10+1))</f>
        <v>0</v>
      </c>
      <c r="HV12">
        <f ca="1">INDIRECT("'Data 11'!HV"&amp;IF('Plot Layout'!L10="",2,'Plot Layout'!L10+1))</f>
        <v>0</v>
      </c>
      <c r="HW12">
        <f ca="1">INDIRECT("'Data 11'!HW"&amp;IF('Plot Layout'!L10="",2,'Plot Layout'!L10+1))</f>
        <v>0</v>
      </c>
      <c r="HX12">
        <f ca="1">INDIRECT("'Data 11'!HX"&amp;IF('Plot Layout'!L10="",2,'Plot Layout'!L10+1))</f>
        <v>0</v>
      </c>
      <c r="HY12">
        <f ca="1">INDIRECT("'Data 11'!HY"&amp;IF('Plot Layout'!L10="",2,'Plot Layout'!L10+1))</f>
        <v>0</v>
      </c>
      <c r="HZ12">
        <f ca="1">INDIRECT("'Data 11'!HZ"&amp;IF('Plot Layout'!L10="",2,'Plot Layout'!L10+1))</f>
        <v>0</v>
      </c>
      <c r="IA12">
        <f ca="1">INDIRECT("'Data 11'!IA"&amp;IF('Plot Layout'!L10="",2,'Plot Layout'!L10+1))</f>
        <v>0</v>
      </c>
      <c r="IB12">
        <f ca="1">INDIRECT("'Data 11'!IB"&amp;IF('Plot Layout'!L10="",2,'Plot Layout'!L10+1))</f>
        <v>0</v>
      </c>
      <c r="IC12">
        <f ca="1">INDIRECT("'Data 11'!IC"&amp;IF('Plot Layout'!L10="",2,'Plot Layout'!L10+1))</f>
        <v>0</v>
      </c>
      <c r="ID12">
        <f ca="1">INDIRECT("'Data 11'!ID"&amp;IF('Plot Layout'!L10="",2,'Plot Layout'!L10+1))</f>
        <v>0</v>
      </c>
      <c r="IE12">
        <f ca="1">INDIRECT("'Data 11'!IE"&amp;IF('Plot Layout'!L10="",2,'Plot Layout'!L10+1))</f>
        <v>0</v>
      </c>
      <c r="IF12">
        <f ca="1">INDIRECT("'Data 11'!IF"&amp;IF('Plot Layout'!L10="",2,'Plot Layout'!L10+1))</f>
        <v>0</v>
      </c>
      <c r="IG12">
        <f ca="1">INDIRECT("'Data 11'!IG"&amp;IF('Plot Layout'!L10="",2,'Plot Layout'!L10+1))</f>
        <v>0</v>
      </c>
      <c r="IH12">
        <f ca="1">INDIRECT("'Data 11'!IH"&amp;IF('Plot Layout'!L10="",2,'Plot Layout'!L10+1))</f>
        <v>0</v>
      </c>
      <c r="II12">
        <f ca="1">INDIRECT("'Data 11'!II"&amp;IF('Plot Layout'!L10="",2,'Plot Layout'!L10+1))</f>
        <v>0</v>
      </c>
      <c r="IJ12">
        <f ca="1">INDIRECT("'Data 11'!IJ"&amp;IF('Plot Layout'!L10="",2,'Plot Layout'!L10+1))</f>
        <v>0</v>
      </c>
      <c r="IK12">
        <f ca="1">INDIRECT("'Data 11'!IK"&amp;IF('Plot Layout'!L10="",2,'Plot Layout'!L10+1))</f>
        <v>0</v>
      </c>
      <c r="IL12">
        <f ca="1">INDIRECT("'Data 11'!IL"&amp;IF('Plot Layout'!L10="",2,'Plot Layout'!L10+1))</f>
        <v>0</v>
      </c>
      <c r="IM12">
        <f ca="1">INDIRECT("'Data 11'!IM"&amp;IF('Plot Layout'!L10="",2,'Plot Layout'!L10+1))</f>
        <v>0</v>
      </c>
      <c r="IN12">
        <f ca="1">INDIRECT("'Data 11'!IN"&amp;IF('Plot Layout'!L10="",2,'Plot Layout'!L10+1))</f>
        <v>0</v>
      </c>
      <c r="IO12">
        <f ca="1">INDIRECT("'Data 11'!IO"&amp;IF('Plot Layout'!L10="",2,'Plot Layout'!L10+1))</f>
        <v>0</v>
      </c>
      <c r="IP12">
        <f ca="1">INDIRECT("'Data 11'!IP"&amp;IF('Plot Layout'!L10="",2,'Plot Layout'!L10+1))</f>
        <v>0</v>
      </c>
      <c r="IQ12">
        <f ca="1">INDIRECT("'Data 11'!IQ"&amp;IF('Plot Layout'!L10="",2,'Plot Layout'!L10+1))</f>
        <v>0</v>
      </c>
      <c r="IR12">
        <f ca="1">INDIRECT("'Data 11'!IR"&amp;IF('Plot Layout'!L10="",2,'Plot Layout'!L10+1))</f>
        <v>0</v>
      </c>
      <c r="IS12">
        <f ca="1">INDIRECT("'Data 11'!IS"&amp;IF('Plot Layout'!L10="",2,'Plot Layout'!L10+1))</f>
        <v>0</v>
      </c>
      <c r="IT12">
        <f ca="1">INDIRECT("'Data 11'!IT"&amp;IF('Plot Layout'!L10="",2,'Plot Layout'!L10+1))</f>
        <v>0</v>
      </c>
      <c r="IU12">
        <f ca="1">INDIRECT("'Data 11'!IU"&amp;IF('Plot Layout'!L10="",2,'Plot Layout'!L10+1))</f>
        <v>0</v>
      </c>
      <c r="IV12">
        <f ca="1">INDIRECT("'Data 11'!IV"&amp;IF('Plot Layout'!L10="",2,'Plot Layout'!L10+1))</f>
        <v>0</v>
      </c>
    </row>
    <row r="13" spans="1:256">
      <c r="A13">
        <f ca="1">INDIRECT("'Data 12'!A"&amp;IF('Plot Layout'!M10="",2,'Plot Layout'!M10+1))</f>
        <v>70</v>
      </c>
      <c r="B13">
        <f ca="1">INDIRECT("'Data 12'!B"&amp;IF('Plot Layout'!M10="",2,'Plot Layout'!M10+1))</f>
        <v>1</v>
      </c>
      <c r="C13" t="str">
        <f ca="1">INDIRECT("'Data 12'!C"&amp;IF('Plot Layout'!M10="",2,'Plot Layout'!M10+1))</f>
        <v>65-406 1% TER</v>
      </c>
      <c r="D13">
        <f ca="1">INDIRECT("'Data 12'!D"&amp;IF('Plot Layout'!M10="",2,'Plot Layout'!M10+1))</f>
        <v>2.3999999999999998E-3</v>
      </c>
      <c r="E13">
        <f ca="1">INDIRECT("'Data 12'!E"&amp;IF('Plot Layout'!M10="",2,'Plot Layout'!M10+1))</f>
        <v>0.01</v>
      </c>
      <c r="F13">
        <f ca="1">INDIRECT("'Data 12'!F"&amp;IF('Plot Layout'!M10="",2,'Plot Layout'!M10+1))</f>
        <v>0.06</v>
      </c>
      <c r="G13">
        <f ca="1">INDIRECT("'Data 12'!G"&amp;IF('Plot Layout'!M10="",2,'Plot Layout'!M10+1))</f>
        <v>4</v>
      </c>
      <c r="H13">
        <f ca="1">INDIRECT("'Data 12'!H"&amp;IF('Plot Layout'!M10="",2,'Plot Layout'!M10+1))</f>
        <v>0</v>
      </c>
      <c r="I13">
        <f ca="1">INDIRECT("'Data 12'!I"&amp;IF('Plot Layout'!M10="",2,'Plot Layout'!M10+1))</f>
        <v>4.5999999999999996</v>
      </c>
      <c r="J13">
        <f ca="1">INDIRECT("'Data 12'!J"&amp;IF('Plot Layout'!M10="",2,'Plot Layout'!M10+1))</f>
        <v>9.5</v>
      </c>
      <c r="K13">
        <f ca="1">INDIRECT("'Data 12'!K"&amp;IF('Plot Layout'!M10="",2,'Plot Layout'!M10+1))</f>
        <v>13.4</v>
      </c>
      <c r="L13">
        <f ca="1">INDIRECT("'Data 12'!L"&amp;IF('Plot Layout'!M10="",2,'Plot Layout'!M10+1))</f>
        <v>5.3</v>
      </c>
      <c r="M13">
        <f ca="1">INDIRECT("'Data 12'!M"&amp;IF('Plot Layout'!M10="",2,'Plot Layout'!M10+1))</f>
        <v>0.30299999999999999</v>
      </c>
      <c r="N13">
        <f ca="1">INDIRECT("'Data 12'!N"&amp;IF('Plot Layout'!M10="",2,'Plot Layout'!M10+1))</f>
        <v>1.016</v>
      </c>
      <c r="O13">
        <f ca="1">INDIRECT("'Data 12'!O"&amp;IF('Plot Layout'!M10="",2,'Plot Layout'!M10+1))</f>
        <v>-1</v>
      </c>
      <c r="P13">
        <f ca="1">INDIRECT("'Data 12'!P"&amp;IF('Plot Layout'!M10="",2,'Plot Layout'!M10+1))</f>
        <v>0</v>
      </c>
      <c r="Q13">
        <f ca="1">INDIRECT("'Data 12'!Q"&amp;IF('Plot Layout'!M10="",2,'Plot Layout'!M10+1))</f>
        <v>8.9999999999999993E-3</v>
      </c>
      <c r="R13">
        <f ca="1">INDIRECT("'Data 12'!R"&amp;IF('Plot Layout'!M10="",2,'Plot Layout'!M10+1))</f>
        <v>0</v>
      </c>
      <c r="S13">
        <f ca="1">INDIRECT("'Data 12'!S"&amp;IF('Plot Layout'!M10="",2,'Plot Layout'!M10+1))</f>
        <v>0</v>
      </c>
      <c r="T13">
        <f ca="1">INDIRECT("'Data 12'!T"&amp;IF('Plot Layout'!M10="",2,'Plot Layout'!M10+1))</f>
        <v>0</v>
      </c>
      <c r="U13">
        <f ca="1">INDIRECT("'Data 12'!U"&amp;IF('Plot Layout'!M10="",2,'Plot Layout'!M10+1))</f>
        <v>0</v>
      </c>
      <c r="V13">
        <f ca="1">INDIRECT("'Data 12'!V"&amp;IF('Plot Layout'!M10="",2,'Plot Layout'!M10+1))</f>
        <v>0</v>
      </c>
      <c r="W13">
        <f ca="1">INDIRECT("'Data 12'!W"&amp;IF('Plot Layout'!M10="",2,'Plot Layout'!M10+1))</f>
        <v>0</v>
      </c>
      <c r="X13">
        <f ca="1">INDIRECT("'Data 12'!X"&amp;IF('Plot Layout'!M10="",2,'Plot Layout'!M10+1))</f>
        <v>0</v>
      </c>
      <c r="Y13">
        <f ca="1">INDIRECT("'Data 12'!Y"&amp;IF('Plot Layout'!M10="",2,'Plot Layout'!M10+1))</f>
        <v>0</v>
      </c>
      <c r="Z13">
        <f ca="1">INDIRECT("'Data 12'!Z"&amp;IF('Plot Layout'!M10="",2,'Plot Layout'!M10+1))</f>
        <v>0</v>
      </c>
      <c r="AA13">
        <f ca="1">INDIRECT("'Data 12'!AA"&amp;IF('Plot Layout'!M10="",2,'Plot Layout'!M10+1))</f>
        <v>0</v>
      </c>
      <c r="AB13">
        <f ca="1">INDIRECT("'Data 12'!AB"&amp;IF('Plot Layout'!M10="",2,'Plot Layout'!M10+1))</f>
        <v>0</v>
      </c>
      <c r="AC13">
        <f ca="1">INDIRECT("'Data 12'!AC"&amp;IF('Plot Layout'!M10="",2,'Plot Layout'!M10+1))</f>
        <v>0</v>
      </c>
      <c r="AD13">
        <f ca="1">INDIRECT("'Data 12'!AD"&amp;IF('Plot Layout'!M10="",2,'Plot Layout'!M10+1))</f>
        <v>0</v>
      </c>
      <c r="AE13">
        <f ca="1">INDIRECT("'Data 12'!AE"&amp;IF('Plot Layout'!M10="",2,'Plot Layout'!M10+1))</f>
        <v>0</v>
      </c>
      <c r="AF13">
        <f ca="1">INDIRECT("'Data 12'!AF"&amp;IF('Plot Layout'!M10="",2,'Plot Layout'!M10+1))</f>
        <v>0</v>
      </c>
      <c r="AG13">
        <f ca="1">INDIRECT("'Data 12'!AG"&amp;IF('Plot Layout'!M10="",2,'Plot Layout'!M10+1))</f>
        <v>0</v>
      </c>
      <c r="AH13">
        <f ca="1">INDIRECT("'Data 12'!AH"&amp;IF('Plot Layout'!M10="",2,'Plot Layout'!M10+1))</f>
        <v>0</v>
      </c>
      <c r="AI13">
        <f ca="1">INDIRECT("'Data 12'!AI"&amp;IF('Plot Layout'!M10="",2,'Plot Layout'!M10+1))</f>
        <v>0</v>
      </c>
      <c r="AJ13">
        <f ca="1">INDIRECT("'Data 12'!AJ"&amp;IF('Plot Layout'!M10="",2,'Plot Layout'!M10+1))</f>
        <v>0</v>
      </c>
      <c r="AK13">
        <f ca="1">INDIRECT("'Data 12'!AK"&amp;IF('Plot Layout'!M10="",2,'Plot Layout'!M10+1))</f>
        <v>0</v>
      </c>
      <c r="AL13">
        <f ca="1">INDIRECT("'Data 12'!AL"&amp;IF('Plot Layout'!M10="",2,'Plot Layout'!M10+1))</f>
        <v>0</v>
      </c>
      <c r="AM13">
        <f ca="1">INDIRECT("'Data 12'!AM"&amp;IF('Plot Layout'!M10="",2,'Plot Layout'!M10+1))</f>
        <v>0</v>
      </c>
      <c r="AN13">
        <f ca="1">INDIRECT("'Data 12'!AN"&amp;IF('Plot Layout'!M10="",2,'Plot Layout'!M10+1))</f>
        <v>0</v>
      </c>
      <c r="AO13">
        <f ca="1">INDIRECT("'Data 12'!AO"&amp;IF('Plot Layout'!M10="",2,'Plot Layout'!M10+1))</f>
        <v>0</v>
      </c>
      <c r="AP13">
        <f ca="1">INDIRECT("'Data 12'!AP"&amp;IF('Plot Layout'!M10="",2,'Plot Layout'!M10+1))</f>
        <v>0</v>
      </c>
      <c r="AQ13">
        <f ca="1">INDIRECT("'Data 12'!AQ"&amp;IF('Plot Layout'!M10="",2,'Plot Layout'!M10+1))</f>
        <v>0</v>
      </c>
      <c r="AR13">
        <f ca="1">INDIRECT("'Data 12'!AR"&amp;IF('Plot Layout'!M10="",2,'Plot Layout'!M10+1))</f>
        <v>0</v>
      </c>
      <c r="AS13">
        <f ca="1">INDIRECT("'Data 12'!AS"&amp;IF('Plot Layout'!M10="",2,'Plot Layout'!M10+1))</f>
        <v>0</v>
      </c>
      <c r="AT13">
        <f ca="1">INDIRECT("'Data 12'!AT"&amp;IF('Plot Layout'!M10="",2,'Plot Layout'!M10+1))</f>
        <v>0</v>
      </c>
      <c r="AU13">
        <f ca="1">INDIRECT("'Data 12'!AU"&amp;IF('Plot Layout'!M10="",2,'Plot Layout'!M10+1))</f>
        <v>0</v>
      </c>
      <c r="AV13">
        <f ca="1">INDIRECT("'Data 12'!AV"&amp;IF('Plot Layout'!M10="",2,'Plot Layout'!M10+1))</f>
        <v>0</v>
      </c>
      <c r="AW13">
        <f ca="1">INDIRECT("'Data 12'!AW"&amp;IF('Plot Layout'!M10="",2,'Plot Layout'!M10+1))</f>
        <v>0</v>
      </c>
      <c r="AX13">
        <f ca="1">INDIRECT("'Data 12'!AX"&amp;IF('Plot Layout'!M10="",2,'Plot Layout'!M10+1))</f>
        <v>0</v>
      </c>
      <c r="AY13">
        <f ca="1">INDIRECT("'Data 12'!AY"&amp;IF('Plot Layout'!M10="",2,'Plot Layout'!M10+1))</f>
        <v>0</v>
      </c>
      <c r="AZ13">
        <f ca="1">INDIRECT("'Data 12'!AZ"&amp;IF('Plot Layout'!M10="",2,'Plot Layout'!M10+1))</f>
        <v>0</v>
      </c>
      <c r="BA13">
        <f ca="1">INDIRECT("'Data 12'!BA"&amp;IF('Plot Layout'!M10="",2,'Plot Layout'!M10+1))</f>
        <v>0</v>
      </c>
      <c r="BB13">
        <f ca="1">INDIRECT("'Data 12'!BB"&amp;IF('Plot Layout'!M10="",2,'Plot Layout'!M10+1))</f>
        <v>0</v>
      </c>
      <c r="BC13">
        <f ca="1">INDIRECT("'Data 12'!BC"&amp;IF('Plot Layout'!M10="",2,'Plot Layout'!M10+1))</f>
        <v>0</v>
      </c>
      <c r="BD13">
        <f ca="1">INDIRECT("'Data 12'!BD"&amp;IF('Plot Layout'!M10="",2,'Plot Layout'!M10+1))</f>
        <v>0</v>
      </c>
      <c r="BE13">
        <f ca="1">INDIRECT("'Data 12'!BE"&amp;IF('Plot Layout'!M10="",2,'Plot Layout'!M10+1))</f>
        <v>0</v>
      </c>
      <c r="BF13">
        <f ca="1">INDIRECT("'Data 12'!BF"&amp;IF('Plot Layout'!M10="",2,'Plot Layout'!M10+1))</f>
        <v>0</v>
      </c>
      <c r="BG13">
        <f ca="1">INDIRECT("'Data 12'!BG"&amp;IF('Plot Layout'!M10="",2,'Plot Layout'!M10+1))</f>
        <v>0</v>
      </c>
      <c r="BH13">
        <f ca="1">INDIRECT("'Data 12'!BH"&amp;IF('Plot Layout'!M10="",2,'Plot Layout'!M10+1))</f>
        <v>0</v>
      </c>
      <c r="BI13">
        <f ca="1">INDIRECT("'Data 12'!BI"&amp;IF('Plot Layout'!M10="",2,'Plot Layout'!M10+1))</f>
        <v>0</v>
      </c>
      <c r="BJ13">
        <f ca="1">INDIRECT("'Data 12'!BJ"&amp;IF('Plot Layout'!M10="",2,'Plot Layout'!M10+1))</f>
        <v>0</v>
      </c>
      <c r="BK13">
        <f ca="1">INDIRECT("'Data 12'!BK"&amp;IF('Plot Layout'!M10="",2,'Plot Layout'!M10+1))</f>
        <v>0</v>
      </c>
      <c r="BL13">
        <f ca="1">INDIRECT("'Data 12'!BL"&amp;IF('Plot Layout'!M10="",2,'Plot Layout'!M10+1))</f>
        <v>0</v>
      </c>
      <c r="BM13">
        <f ca="1">INDIRECT("'Data 12'!BM"&amp;IF('Plot Layout'!M10="",2,'Plot Layout'!M10+1))</f>
        <v>0</v>
      </c>
      <c r="BN13">
        <f ca="1">INDIRECT("'Data 12'!BN"&amp;IF('Plot Layout'!M10="",2,'Plot Layout'!M10+1))</f>
        <v>0</v>
      </c>
      <c r="BO13">
        <f ca="1">INDIRECT("'Data 12'!BO"&amp;IF('Plot Layout'!M10="",2,'Plot Layout'!M10+1))</f>
        <v>0</v>
      </c>
      <c r="BP13">
        <f ca="1">INDIRECT("'Data 12'!BP"&amp;IF('Plot Layout'!M10="",2,'Plot Layout'!M10+1))</f>
        <v>0</v>
      </c>
      <c r="BQ13">
        <f ca="1">INDIRECT("'Data 12'!BQ"&amp;IF('Plot Layout'!M10="",2,'Plot Layout'!M10+1))</f>
        <v>0</v>
      </c>
      <c r="BR13">
        <f ca="1">INDIRECT("'Data 12'!BR"&amp;IF('Plot Layout'!M10="",2,'Plot Layout'!M10+1))</f>
        <v>0</v>
      </c>
      <c r="BS13">
        <f ca="1">INDIRECT("'Data 12'!BS"&amp;IF('Plot Layout'!M10="",2,'Plot Layout'!M10+1))</f>
        <v>0</v>
      </c>
      <c r="BT13">
        <f ca="1">INDIRECT("'Data 12'!BT"&amp;IF('Plot Layout'!M10="",2,'Plot Layout'!M10+1))</f>
        <v>0</v>
      </c>
      <c r="BU13">
        <f ca="1">INDIRECT("'Data 12'!BU"&amp;IF('Plot Layout'!M10="",2,'Plot Layout'!M10+1))</f>
        <v>0</v>
      </c>
      <c r="BV13">
        <f ca="1">INDIRECT("'Data 12'!BV"&amp;IF('Plot Layout'!M10="",2,'Plot Layout'!M10+1))</f>
        <v>0</v>
      </c>
      <c r="BW13">
        <f ca="1">INDIRECT("'Data 12'!BW"&amp;IF('Plot Layout'!M10="",2,'Plot Layout'!M10+1))</f>
        <v>0</v>
      </c>
      <c r="BX13">
        <f ca="1">INDIRECT("'Data 12'!BX"&amp;IF('Plot Layout'!M10="",2,'Plot Layout'!M10+1))</f>
        <v>0</v>
      </c>
      <c r="BY13">
        <f ca="1">INDIRECT("'Data 12'!BY"&amp;IF('Plot Layout'!M10="",2,'Plot Layout'!M10+1))</f>
        <v>0</v>
      </c>
      <c r="BZ13">
        <f ca="1">INDIRECT("'Data 12'!BZ"&amp;IF('Plot Layout'!M10="",2,'Plot Layout'!M10+1))</f>
        <v>0</v>
      </c>
      <c r="CA13">
        <f ca="1">INDIRECT("'Data 12'!CA"&amp;IF('Plot Layout'!M10="",2,'Plot Layout'!M10+1))</f>
        <v>0</v>
      </c>
      <c r="CB13">
        <f ca="1">INDIRECT("'Data 12'!CB"&amp;IF('Plot Layout'!M10="",2,'Plot Layout'!M10+1))</f>
        <v>0</v>
      </c>
      <c r="CC13">
        <f ca="1">INDIRECT("'Data 12'!CC"&amp;IF('Plot Layout'!M10="",2,'Plot Layout'!M10+1))</f>
        <v>0</v>
      </c>
      <c r="CD13">
        <f ca="1">INDIRECT("'Data 12'!CD"&amp;IF('Plot Layout'!M10="",2,'Plot Layout'!M10+1))</f>
        <v>0</v>
      </c>
      <c r="CE13">
        <f ca="1">INDIRECT("'Data 12'!CE"&amp;IF('Plot Layout'!M10="",2,'Plot Layout'!M10+1))</f>
        <v>0</v>
      </c>
      <c r="CF13">
        <f ca="1">INDIRECT("'Data 12'!CF"&amp;IF('Plot Layout'!M10="",2,'Plot Layout'!M10+1))</f>
        <v>0</v>
      </c>
      <c r="CG13">
        <f ca="1">INDIRECT("'Data 12'!CG"&amp;IF('Plot Layout'!M10="",2,'Plot Layout'!M10+1))</f>
        <v>0</v>
      </c>
      <c r="CH13">
        <f ca="1">INDIRECT("'Data 12'!CH"&amp;IF('Plot Layout'!M10="",2,'Plot Layout'!M10+1))</f>
        <v>0</v>
      </c>
      <c r="CI13">
        <f ca="1">INDIRECT("'Data 12'!CI"&amp;IF('Plot Layout'!M10="",2,'Plot Layout'!M10+1))</f>
        <v>0</v>
      </c>
      <c r="CJ13">
        <f ca="1">INDIRECT("'Data 12'!CJ"&amp;IF('Plot Layout'!M10="",2,'Plot Layout'!M10+1))</f>
        <v>0</v>
      </c>
      <c r="CK13">
        <f ca="1">INDIRECT("'Data 12'!CK"&amp;IF('Plot Layout'!M10="",2,'Plot Layout'!M10+1))</f>
        <v>0</v>
      </c>
      <c r="CL13">
        <f ca="1">INDIRECT("'Data 12'!CL"&amp;IF('Plot Layout'!M10="",2,'Plot Layout'!M10+1))</f>
        <v>0</v>
      </c>
      <c r="CM13">
        <f ca="1">INDIRECT("'Data 12'!CM"&amp;IF('Plot Layout'!M10="",2,'Plot Layout'!M10+1))</f>
        <v>0</v>
      </c>
      <c r="CN13">
        <f ca="1">INDIRECT("'Data 12'!CN"&amp;IF('Plot Layout'!M10="",2,'Plot Layout'!M10+1))</f>
        <v>0</v>
      </c>
      <c r="CO13">
        <f ca="1">INDIRECT("'Data 12'!CO"&amp;IF('Plot Layout'!M10="",2,'Plot Layout'!M10+1))</f>
        <v>0</v>
      </c>
      <c r="CP13">
        <f ca="1">INDIRECT("'Data 12'!CP"&amp;IF('Plot Layout'!M10="",2,'Plot Layout'!M10+1))</f>
        <v>0</v>
      </c>
      <c r="CQ13">
        <f ca="1">INDIRECT("'Data 12'!CQ"&amp;IF('Plot Layout'!M10="",2,'Plot Layout'!M10+1))</f>
        <v>0</v>
      </c>
      <c r="CR13">
        <f ca="1">INDIRECT("'Data 12'!CR"&amp;IF('Plot Layout'!M10="",2,'Plot Layout'!M10+1))</f>
        <v>0</v>
      </c>
      <c r="CS13">
        <f ca="1">INDIRECT("'Data 12'!CS"&amp;IF('Plot Layout'!M10="",2,'Plot Layout'!M10+1))</f>
        <v>0</v>
      </c>
      <c r="CT13">
        <f ca="1">INDIRECT("'Data 12'!CT"&amp;IF('Plot Layout'!M10="",2,'Plot Layout'!M10+1))</f>
        <v>0</v>
      </c>
      <c r="CU13">
        <f ca="1">INDIRECT("'Data 12'!CU"&amp;IF('Plot Layout'!M10="",2,'Plot Layout'!M10+1))</f>
        <v>0</v>
      </c>
      <c r="CV13">
        <f ca="1">INDIRECT("'Data 12'!CV"&amp;IF('Plot Layout'!M10="",2,'Plot Layout'!M10+1))</f>
        <v>0</v>
      </c>
      <c r="CW13">
        <f ca="1">INDIRECT("'Data 12'!CW"&amp;IF('Plot Layout'!M10="",2,'Plot Layout'!M10+1))</f>
        <v>0</v>
      </c>
      <c r="CX13">
        <f ca="1">INDIRECT("'Data 12'!CX"&amp;IF('Plot Layout'!M10="",2,'Plot Layout'!M10+1))</f>
        <v>0</v>
      </c>
      <c r="CY13">
        <f ca="1">INDIRECT("'Data 12'!CY"&amp;IF('Plot Layout'!M10="",2,'Plot Layout'!M10+1))</f>
        <v>0</v>
      </c>
      <c r="CZ13">
        <f ca="1">INDIRECT("'Data 12'!CZ"&amp;IF('Plot Layout'!M10="",2,'Plot Layout'!M10+1))</f>
        <v>0</v>
      </c>
      <c r="DA13">
        <f ca="1">INDIRECT("'Data 12'!DA"&amp;IF('Plot Layout'!M10="",2,'Plot Layout'!M10+1))</f>
        <v>0</v>
      </c>
      <c r="DB13">
        <f ca="1">INDIRECT("'Data 12'!DB"&amp;IF('Plot Layout'!M10="",2,'Plot Layout'!M10+1))</f>
        <v>0</v>
      </c>
      <c r="DC13">
        <f ca="1">INDIRECT("'Data 12'!DC"&amp;IF('Plot Layout'!M10="",2,'Plot Layout'!M10+1))</f>
        <v>0</v>
      </c>
      <c r="DD13">
        <f ca="1">INDIRECT("'Data 12'!DD"&amp;IF('Plot Layout'!M10="",2,'Plot Layout'!M10+1))</f>
        <v>0</v>
      </c>
      <c r="DE13">
        <f ca="1">INDIRECT("'Data 12'!DE"&amp;IF('Plot Layout'!M10="",2,'Plot Layout'!M10+1))</f>
        <v>0</v>
      </c>
      <c r="DF13">
        <f ca="1">INDIRECT("'Data 12'!DF"&amp;IF('Plot Layout'!M10="",2,'Plot Layout'!M10+1))</f>
        <v>0</v>
      </c>
      <c r="DG13">
        <f ca="1">INDIRECT("'Data 12'!DG"&amp;IF('Plot Layout'!M10="",2,'Plot Layout'!M10+1))</f>
        <v>0</v>
      </c>
      <c r="DH13">
        <f ca="1">INDIRECT("'Data 12'!DH"&amp;IF('Plot Layout'!M10="",2,'Plot Layout'!M10+1))</f>
        <v>0</v>
      </c>
      <c r="DI13">
        <f ca="1">INDIRECT("'Data 12'!DI"&amp;IF('Plot Layout'!M10="",2,'Plot Layout'!M10+1))</f>
        <v>0</v>
      </c>
      <c r="DJ13">
        <f ca="1">INDIRECT("'Data 12'!DJ"&amp;IF('Plot Layout'!M10="",2,'Plot Layout'!M10+1))</f>
        <v>0</v>
      </c>
      <c r="DK13">
        <f ca="1">INDIRECT("'Data 12'!DK"&amp;IF('Plot Layout'!M10="",2,'Plot Layout'!M10+1))</f>
        <v>0</v>
      </c>
      <c r="DL13">
        <f ca="1">INDIRECT("'Data 12'!DL"&amp;IF('Plot Layout'!M10="",2,'Plot Layout'!M10+1))</f>
        <v>0</v>
      </c>
      <c r="DM13">
        <f ca="1">INDIRECT("'Data 12'!DM"&amp;IF('Plot Layout'!M10="",2,'Plot Layout'!M10+1))</f>
        <v>0</v>
      </c>
      <c r="DN13">
        <f ca="1">INDIRECT("'Data 12'!DN"&amp;IF('Plot Layout'!M10="",2,'Plot Layout'!M10+1))</f>
        <v>0</v>
      </c>
      <c r="DO13">
        <f ca="1">INDIRECT("'Data 12'!DO"&amp;IF('Plot Layout'!M10="",2,'Plot Layout'!M10+1))</f>
        <v>0</v>
      </c>
      <c r="DP13">
        <f ca="1">INDIRECT("'Data 12'!DP"&amp;IF('Plot Layout'!M10="",2,'Plot Layout'!M10+1))</f>
        <v>0</v>
      </c>
      <c r="DQ13">
        <f ca="1">INDIRECT("'Data 12'!DQ"&amp;IF('Plot Layout'!M10="",2,'Plot Layout'!M10+1))</f>
        <v>0</v>
      </c>
      <c r="DR13">
        <f ca="1">INDIRECT("'Data 12'!DR"&amp;IF('Plot Layout'!M10="",2,'Plot Layout'!M10+1))</f>
        <v>0</v>
      </c>
      <c r="DS13">
        <f ca="1">INDIRECT("'Data 12'!DS"&amp;IF('Plot Layout'!M10="",2,'Plot Layout'!M10+1))</f>
        <v>0</v>
      </c>
      <c r="DT13">
        <f ca="1">INDIRECT("'Data 12'!DT"&amp;IF('Plot Layout'!M10="",2,'Plot Layout'!M10+1))</f>
        <v>0</v>
      </c>
      <c r="DU13">
        <f ca="1">INDIRECT("'Data 12'!DU"&amp;IF('Plot Layout'!M10="",2,'Plot Layout'!M10+1))</f>
        <v>0</v>
      </c>
      <c r="DV13">
        <f ca="1">INDIRECT("'Data 12'!DV"&amp;IF('Plot Layout'!M10="",2,'Plot Layout'!M10+1))</f>
        <v>0</v>
      </c>
      <c r="DW13">
        <f ca="1">INDIRECT("'Data 12'!DW"&amp;IF('Plot Layout'!M10="",2,'Plot Layout'!M10+1))</f>
        <v>0</v>
      </c>
      <c r="DX13">
        <f ca="1">INDIRECT("'Data 12'!DX"&amp;IF('Plot Layout'!M10="",2,'Plot Layout'!M10+1))</f>
        <v>0</v>
      </c>
      <c r="DY13">
        <f ca="1">INDIRECT("'Data 12'!DY"&amp;IF('Plot Layout'!M10="",2,'Plot Layout'!M10+1))</f>
        <v>0</v>
      </c>
      <c r="DZ13">
        <f ca="1">INDIRECT("'Data 12'!DZ"&amp;IF('Plot Layout'!M10="",2,'Plot Layout'!M10+1))</f>
        <v>0</v>
      </c>
      <c r="EA13">
        <f ca="1">INDIRECT("'Data 12'!EA"&amp;IF('Plot Layout'!M10="",2,'Plot Layout'!M10+1))</f>
        <v>0</v>
      </c>
      <c r="EB13">
        <f ca="1">INDIRECT("'Data 12'!EB"&amp;IF('Plot Layout'!M10="",2,'Plot Layout'!M10+1))</f>
        <v>0</v>
      </c>
      <c r="EC13">
        <f ca="1">INDIRECT("'Data 12'!EC"&amp;IF('Plot Layout'!M10="",2,'Plot Layout'!M10+1))</f>
        <v>0</v>
      </c>
      <c r="ED13">
        <f ca="1">INDIRECT("'Data 12'!ED"&amp;IF('Plot Layout'!M10="",2,'Plot Layout'!M10+1))</f>
        <v>0</v>
      </c>
      <c r="EE13">
        <f ca="1">INDIRECT("'Data 12'!EE"&amp;IF('Plot Layout'!M10="",2,'Plot Layout'!M10+1))</f>
        <v>0</v>
      </c>
      <c r="EF13">
        <f ca="1">INDIRECT("'Data 12'!EF"&amp;IF('Plot Layout'!M10="",2,'Plot Layout'!M10+1))</f>
        <v>0</v>
      </c>
      <c r="EG13">
        <f ca="1">INDIRECT("'Data 12'!EG"&amp;IF('Plot Layout'!M10="",2,'Plot Layout'!M10+1))</f>
        <v>0</v>
      </c>
      <c r="EH13">
        <f ca="1">INDIRECT("'Data 12'!EH"&amp;IF('Plot Layout'!M10="",2,'Plot Layout'!M10+1))</f>
        <v>0</v>
      </c>
      <c r="EI13">
        <f ca="1">INDIRECT("'Data 12'!EI"&amp;IF('Plot Layout'!M10="",2,'Plot Layout'!M10+1))</f>
        <v>0</v>
      </c>
      <c r="EJ13">
        <f ca="1">INDIRECT("'Data 12'!EJ"&amp;IF('Plot Layout'!M10="",2,'Plot Layout'!M10+1))</f>
        <v>0</v>
      </c>
      <c r="EK13">
        <f ca="1">INDIRECT("'Data 12'!EK"&amp;IF('Plot Layout'!M10="",2,'Plot Layout'!M10+1))</f>
        <v>0</v>
      </c>
      <c r="EL13">
        <f ca="1">INDIRECT("'Data 12'!EL"&amp;IF('Plot Layout'!M10="",2,'Plot Layout'!M10+1))</f>
        <v>0</v>
      </c>
      <c r="EM13">
        <f ca="1">INDIRECT("'Data 12'!EM"&amp;IF('Plot Layout'!M10="",2,'Plot Layout'!M10+1))</f>
        <v>0</v>
      </c>
      <c r="EN13">
        <f ca="1">INDIRECT("'Data 12'!EN"&amp;IF('Plot Layout'!M10="",2,'Plot Layout'!M10+1))</f>
        <v>0</v>
      </c>
      <c r="EO13">
        <f ca="1">INDIRECT("'Data 12'!EO"&amp;IF('Plot Layout'!M10="",2,'Plot Layout'!M10+1))</f>
        <v>0</v>
      </c>
      <c r="EP13">
        <f ca="1">INDIRECT("'Data 12'!EP"&amp;IF('Plot Layout'!M10="",2,'Plot Layout'!M10+1))</f>
        <v>0</v>
      </c>
      <c r="EQ13">
        <f ca="1">INDIRECT("'Data 12'!EQ"&amp;IF('Plot Layout'!M10="",2,'Plot Layout'!M10+1))</f>
        <v>0</v>
      </c>
      <c r="ER13">
        <f ca="1">INDIRECT("'Data 12'!ER"&amp;IF('Plot Layout'!M10="",2,'Plot Layout'!M10+1))</f>
        <v>0</v>
      </c>
      <c r="ES13">
        <f ca="1">INDIRECT("'Data 12'!ES"&amp;IF('Plot Layout'!M10="",2,'Plot Layout'!M10+1))</f>
        <v>0</v>
      </c>
      <c r="ET13">
        <f ca="1">INDIRECT("'Data 12'!ET"&amp;IF('Plot Layout'!M10="",2,'Plot Layout'!M10+1))</f>
        <v>0</v>
      </c>
      <c r="EU13">
        <f ca="1">INDIRECT("'Data 12'!EU"&amp;IF('Plot Layout'!M10="",2,'Plot Layout'!M10+1))</f>
        <v>0</v>
      </c>
      <c r="EV13">
        <f ca="1">INDIRECT("'Data 12'!EV"&amp;IF('Plot Layout'!M10="",2,'Plot Layout'!M10+1))</f>
        <v>0</v>
      </c>
      <c r="EW13">
        <f ca="1">INDIRECT("'Data 12'!EW"&amp;IF('Plot Layout'!M10="",2,'Plot Layout'!M10+1))</f>
        <v>0</v>
      </c>
      <c r="EX13">
        <f ca="1">INDIRECT("'Data 12'!EX"&amp;IF('Plot Layout'!M10="",2,'Plot Layout'!M10+1))</f>
        <v>0</v>
      </c>
      <c r="EY13">
        <f ca="1">INDIRECT("'Data 12'!EY"&amp;IF('Plot Layout'!M10="",2,'Plot Layout'!M10+1))</f>
        <v>0</v>
      </c>
      <c r="EZ13">
        <f ca="1">INDIRECT("'Data 12'!EZ"&amp;IF('Plot Layout'!M10="",2,'Plot Layout'!M10+1))</f>
        <v>0</v>
      </c>
      <c r="FA13">
        <f ca="1">INDIRECT("'Data 12'!FA"&amp;IF('Plot Layout'!M10="",2,'Plot Layout'!M10+1))</f>
        <v>0</v>
      </c>
      <c r="FB13">
        <f ca="1">INDIRECT("'Data 12'!FB"&amp;IF('Plot Layout'!M10="",2,'Plot Layout'!M10+1))</f>
        <v>0</v>
      </c>
      <c r="FC13">
        <f ca="1">INDIRECT("'Data 12'!FC"&amp;IF('Plot Layout'!M10="",2,'Plot Layout'!M10+1))</f>
        <v>0</v>
      </c>
      <c r="FD13">
        <f ca="1">INDIRECT("'Data 12'!FD"&amp;IF('Plot Layout'!M10="",2,'Plot Layout'!M10+1))</f>
        <v>0</v>
      </c>
      <c r="FE13">
        <f ca="1">INDIRECT("'Data 12'!FE"&amp;IF('Plot Layout'!M10="",2,'Plot Layout'!M10+1))</f>
        <v>0</v>
      </c>
      <c r="FF13">
        <f ca="1">INDIRECT("'Data 12'!FF"&amp;IF('Plot Layout'!M10="",2,'Plot Layout'!M10+1))</f>
        <v>0</v>
      </c>
      <c r="FG13">
        <f ca="1">INDIRECT("'Data 12'!FG"&amp;IF('Plot Layout'!M10="",2,'Plot Layout'!M10+1))</f>
        <v>0</v>
      </c>
      <c r="FH13">
        <f ca="1">INDIRECT("'Data 12'!FH"&amp;IF('Plot Layout'!M10="",2,'Plot Layout'!M10+1))</f>
        <v>0</v>
      </c>
      <c r="FI13">
        <f ca="1">INDIRECT("'Data 12'!FI"&amp;IF('Plot Layout'!M10="",2,'Plot Layout'!M10+1))</f>
        <v>0</v>
      </c>
      <c r="FJ13">
        <f ca="1">INDIRECT("'Data 12'!FJ"&amp;IF('Plot Layout'!M10="",2,'Plot Layout'!M10+1))</f>
        <v>0</v>
      </c>
      <c r="FK13">
        <f ca="1">INDIRECT("'Data 12'!FK"&amp;IF('Plot Layout'!M10="",2,'Plot Layout'!M10+1))</f>
        <v>0</v>
      </c>
      <c r="FL13">
        <f ca="1">INDIRECT("'Data 12'!FL"&amp;IF('Plot Layout'!M10="",2,'Plot Layout'!M10+1))</f>
        <v>0</v>
      </c>
      <c r="FM13">
        <f ca="1">INDIRECT("'Data 12'!FM"&amp;IF('Plot Layout'!M10="",2,'Plot Layout'!M10+1))</f>
        <v>0</v>
      </c>
      <c r="FN13">
        <f ca="1">INDIRECT("'Data 12'!FN"&amp;IF('Plot Layout'!M10="",2,'Plot Layout'!M10+1))</f>
        <v>0</v>
      </c>
      <c r="FO13">
        <f ca="1">INDIRECT("'Data 12'!FO"&amp;IF('Plot Layout'!M10="",2,'Plot Layout'!M10+1))</f>
        <v>0</v>
      </c>
      <c r="FP13">
        <f ca="1">INDIRECT("'Data 12'!FP"&amp;IF('Plot Layout'!M10="",2,'Plot Layout'!M10+1))</f>
        <v>0</v>
      </c>
      <c r="FQ13">
        <f ca="1">INDIRECT("'Data 12'!FQ"&amp;IF('Plot Layout'!M10="",2,'Plot Layout'!M10+1))</f>
        <v>0</v>
      </c>
      <c r="FR13">
        <f ca="1">INDIRECT("'Data 12'!FR"&amp;IF('Plot Layout'!M10="",2,'Plot Layout'!M10+1))</f>
        <v>0</v>
      </c>
      <c r="FS13">
        <f ca="1">INDIRECT("'Data 12'!FS"&amp;IF('Plot Layout'!M10="",2,'Plot Layout'!M10+1))</f>
        <v>0</v>
      </c>
      <c r="FT13">
        <f ca="1">INDIRECT("'Data 12'!FT"&amp;IF('Plot Layout'!M10="",2,'Plot Layout'!M10+1))</f>
        <v>0</v>
      </c>
      <c r="FU13">
        <f ca="1">INDIRECT("'Data 12'!FU"&amp;IF('Plot Layout'!M10="",2,'Plot Layout'!M10+1))</f>
        <v>0</v>
      </c>
      <c r="FV13">
        <f ca="1">INDIRECT("'Data 12'!FV"&amp;IF('Plot Layout'!M10="",2,'Plot Layout'!M10+1))</f>
        <v>0</v>
      </c>
      <c r="FW13">
        <f ca="1">INDIRECT("'Data 12'!FW"&amp;IF('Plot Layout'!M10="",2,'Plot Layout'!M10+1))</f>
        <v>0</v>
      </c>
      <c r="FX13">
        <f ca="1">INDIRECT("'Data 12'!FX"&amp;IF('Plot Layout'!M10="",2,'Plot Layout'!M10+1))</f>
        <v>0</v>
      </c>
      <c r="FY13">
        <f ca="1">INDIRECT("'Data 12'!FY"&amp;IF('Plot Layout'!M10="",2,'Plot Layout'!M10+1))</f>
        <v>0</v>
      </c>
      <c r="FZ13">
        <f ca="1">INDIRECT("'Data 12'!FZ"&amp;IF('Plot Layout'!M10="",2,'Plot Layout'!M10+1))</f>
        <v>0</v>
      </c>
      <c r="GA13">
        <f ca="1">INDIRECT("'Data 12'!GA"&amp;IF('Plot Layout'!M10="",2,'Plot Layout'!M10+1))</f>
        <v>0</v>
      </c>
      <c r="GB13">
        <f ca="1">INDIRECT("'Data 12'!GB"&amp;IF('Plot Layout'!M10="",2,'Plot Layout'!M10+1))</f>
        <v>0</v>
      </c>
      <c r="GC13">
        <f ca="1">INDIRECT("'Data 12'!GC"&amp;IF('Plot Layout'!M10="",2,'Plot Layout'!M10+1))</f>
        <v>0</v>
      </c>
      <c r="GD13">
        <f ca="1">INDIRECT("'Data 12'!GD"&amp;IF('Plot Layout'!M10="",2,'Plot Layout'!M10+1))</f>
        <v>0</v>
      </c>
      <c r="GE13">
        <f ca="1">INDIRECT("'Data 12'!GE"&amp;IF('Plot Layout'!M10="",2,'Plot Layout'!M10+1))</f>
        <v>0</v>
      </c>
      <c r="GF13">
        <f ca="1">INDIRECT("'Data 12'!GF"&amp;IF('Plot Layout'!M10="",2,'Plot Layout'!M10+1))</f>
        <v>0</v>
      </c>
      <c r="GG13">
        <f ca="1">INDIRECT("'Data 12'!GG"&amp;IF('Plot Layout'!M10="",2,'Plot Layout'!M10+1))</f>
        <v>0</v>
      </c>
      <c r="GH13">
        <f ca="1">INDIRECT("'Data 12'!GH"&amp;IF('Plot Layout'!M10="",2,'Plot Layout'!M10+1))</f>
        <v>0</v>
      </c>
      <c r="GI13">
        <f ca="1">INDIRECT("'Data 12'!GI"&amp;IF('Plot Layout'!M10="",2,'Plot Layout'!M10+1))</f>
        <v>0</v>
      </c>
      <c r="GJ13">
        <f ca="1">INDIRECT("'Data 12'!GJ"&amp;IF('Plot Layout'!M10="",2,'Plot Layout'!M10+1))</f>
        <v>0</v>
      </c>
      <c r="GK13">
        <f ca="1">INDIRECT("'Data 12'!GK"&amp;IF('Plot Layout'!M10="",2,'Plot Layout'!M10+1))</f>
        <v>0</v>
      </c>
      <c r="GL13">
        <f ca="1">INDIRECT("'Data 12'!GL"&amp;IF('Plot Layout'!M10="",2,'Plot Layout'!M10+1))</f>
        <v>0</v>
      </c>
      <c r="GM13">
        <f ca="1">INDIRECT("'Data 12'!GM"&amp;IF('Plot Layout'!M10="",2,'Plot Layout'!M10+1))</f>
        <v>0</v>
      </c>
      <c r="GN13">
        <f ca="1">INDIRECT("'Data 12'!GN"&amp;IF('Plot Layout'!M10="",2,'Plot Layout'!M10+1))</f>
        <v>0</v>
      </c>
      <c r="GO13">
        <f ca="1">INDIRECT("'Data 12'!GO"&amp;IF('Plot Layout'!M10="",2,'Plot Layout'!M10+1))</f>
        <v>0</v>
      </c>
      <c r="GP13">
        <f ca="1">INDIRECT("'Data 12'!GP"&amp;IF('Plot Layout'!M10="",2,'Plot Layout'!M10+1))</f>
        <v>0</v>
      </c>
      <c r="GQ13">
        <f ca="1">INDIRECT("'Data 12'!GQ"&amp;IF('Plot Layout'!M10="",2,'Plot Layout'!M10+1))</f>
        <v>0</v>
      </c>
      <c r="GR13">
        <f ca="1">INDIRECT("'Data 12'!GR"&amp;IF('Plot Layout'!M10="",2,'Plot Layout'!M10+1))</f>
        <v>0</v>
      </c>
      <c r="GS13">
        <f ca="1">INDIRECT("'Data 12'!GS"&amp;IF('Plot Layout'!M10="",2,'Plot Layout'!M10+1))</f>
        <v>0</v>
      </c>
      <c r="GT13">
        <f ca="1">INDIRECT("'Data 12'!GT"&amp;IF('Plot Layout'!M10="",2,'Plot Layout'!M10+1))</f>
        <v>0</v>
      </c>
      <c r="GU13">
        <f ca="1">INDIRECT("'Data 12'!GU"&amp;IF('Plot Layout'!M10="",2,'Plot Layout'!M10+1))</f>
        <v>0</v>
      </c>
      <c r="GV13">
        <f ca="1">INDIRECT("'Data 12'!GV"&amp;IF('Plot Layout'!M10="",2,'Plot Layout'!M10+1))</f>
        <v>0</v>
      </c>
      <c r="GW13">
        <f ca="1">INDIRECT("'Data 12'!GW"&amp;IF('Plot Layout'!M10="",2,'Plot Layout'!M10+1))</f>
        <v>0</v>
      </c>
      <c r="GX13">
        <f ca="1">INDIRECT("'Data 12'!GX"&amp;IF('Plot Layout'!M10="",2,'Plot Layout'!M10+1))</f>
        <v>0</v>
      </c>
      <c r="GY13">
        <f ca="1">INDIRECT("'Data 12'!GY"&amp;IF('Plot Layout'!M10="",2,'Plot Layout'!M10+1))</f>
        <v>0</v>
      </c>
      <c r="GZ13">
        <f ca="1">INDIRECT("'Data 12'!GZ"&amp;IF('Plot Layout'!M10="",2,'Plot Layout'!M10+1))</f>
        <v>0</v>
      </c>
      <c r="HA13">
        <f ca="1">INDIRECT("'Data 12'!HA"&amp;IF('Plot Layout'!M10="",2,'Plot Layout'!M10+1))</f>
        <v>0</v>
      </c>
      <c r="HB13">
        <f ca="1">INDIRECT("'Data 12'!HB"&amp;IF('Plot Layout'!M10="",2,'Plot Layout'!M10+1))</f>
        <v>0</v>
      </c>
      <c r="HC13">
        <f ca="1">INDIRECT("'Data 12'!HC"&amp;IF('Plot Layout'!M10="",2,'Plot Layout'!M10+1))</f>
        <v>0</v>
      </c>
      <c r="HD13">
        <f ca="1">INDIRECT("'Data 12'!HD"&amp;IF('Plot Layout'!M10="",2,'Plot Layout'!M10+1))</f>
        <v>0</v>
      </c>
      <c r="HE13">
        <f ca="1">INDIRECT("'Data 12'!HE"&amp;IF('Plot Layout'!M10="",2,'Plot Layout'!M10+1))</f>
        <v>0</v>
      </c>
      <c r="HF13">
        <f ca="1">INDIRECT("'Data 12'!HF"&amp;IF('Plot Layout'!M10="",2,'Plot Layout'!M10+1))</f>
        <v>0</v>
      </c>
      <c r="HG13">
        <f ca="1">INDIRECT("'Data 12'!HG"&amp;IF('Plot Layout'!M10="",2,'Plot Layout'!M10+1))</f>
        <v>0</v>
      </c>
      <c r="HH13">
        <f ca="1">INDIRECT("'Data 12'!HH"&amp;IF('Plot Layout'!M10="",2,'Plot Layout'!M10+1))</f>
        <v>0</v>
      </c>
      <c r="HI13">
        <f ca="1">INDIRECT("'Data 12'!HI"&amp;IF('Plot Layout'!M10="",2,'Plot Layout'!M10+1))</f>
        <v>0</v>
      </c>
      <c r="HJ13">
        <f ca="1">INDIRECT("'Data 12'!HJ"&amp;IF('Plot Layout'!M10="",2,'Plot Layout'!M10+1))</f>
        <v>0</v>
      </c>
      <c r="HK13">
        <f ca="1">INDIRECT("'Data 12'!HK"&amp;IF('Plot Layout'!M10="",2,'Plot Layout'!M10+1))</f>
        <v>0</v>
      </c>
      <c r="HL13">
        <f ca="1">INDIRECT("'Data 12'!HL"&amp;IF('Plot Layout'!M10="",2,'Plot Layout'!M10+1))</f>
        <v>0</v>
      </c>
      <c r="HM13">
        <f ca="1">INDIRECT("'Data 12'!HM"&amp;IF('Plot Layout'!M10="",2,'Plot Layout'!M10+1))</f>
        <v>0</v>
      </c>
      <c r="HN13">
        <f ca="1">INDIRECT("'Data 12'!HN"&amp;IF('Plot Layout'!M10="",2,'Plot Layout'!M10+1))</f>
        <v>0</v>
      </c>
      <c r="HO13">
        <f ca="1">INDIRECT("'Data 12'!HO"&amp;IF('Plot Layout'!M10="",2,'Plot Layout'!M10+1))</f>
        <v>0</v>
      </c>
      <c r="HP13">
        <f ca="1">INDIRECT("'Data 12'!HP"&amp;IF('Plot Layout'!M10="",2,'Plot Layout'!M10+1))</f>
        <v>0</v>
      </c>
      <c r="HQ13">
        <f ca="1">INDIRECT("'Data 12'!HQ"&amp;IF('Plot Layout'!M10="",2,'Plot Layout'!M10+1))</f>
        <v>0</v>
      </c>
      <c r="HR13">
        <f ca="1">INDIRECT("'Data 12'!HR"&amp;IF('Plot Layout'!M10="",2,'Plot Layout'!M10+1))</f>
        <v>0</v>
      </c>
      <c r="HS13">
        <f ca="1">INDIRECT("'Data 12'!HS"&amp;IF('Plot Layout'!M10="",2,'Plot Layout'!M10+1))</f>
        <v>0</v>
      </c>
      <c r="HT13">
        <f ca="1">INDIRECT("'Data 12'!HT"&amp;IF('Plot Layout'!M10="",2,'Plot Layout'!M10+1))</f>
        <v>0</v>
      </c>
      <c r="HU13">
        <f ca="1">INDIRECT("'Data 12'!HU"&amp;IF('Plot Layout'!M10="",2,'Plot Layout'!M10+1))</f>
        <v>0</v>
      </c>
      <c r="HV13">
        <f ca="1">INDIRECT("'Data 12'!HV"&amp;IF('Plot Layout'!M10="",2,'Plot Layout'!M10+1))</f>
        <v>0</v>
      </c>
      <c r="HW13">
        <f ca="1">INDIRECT("'Data 12'!HW"&amp;IF('Plot Layout'!M10="",2,'Plot Layout'!M10+1))</f>
        <v>0</v>
      </c>
      <c r="HX13">
        <f ca="1">INDIRECT("'Data 12'!HX"&amp;IF('Plot Layout'!M10="",2,'Plot Layout'!M10+1))</f>
        <v>0</v>
      </c>
      <c r="HY13">
        <f ca="1">INDIRECT("'Data 12'!HY"&amp;IF('Plot Layout'!M10="",2,'Plot Layout'!M10+1))</f>
        <v>0</v>
      </c>
      <c r="HZ13">
        <f ca="1">INDIRECT("'Data 12'!HZ"&amp;IF('Plot Layout'!M10="",2,'Plot Layout'!M10+1))</f>
        <v>0</v>
      </c>
      <c r="IA13">
        <f ca="1">INDIRECT("'Data 12'!IA"&amp;IF('Plot Layout'!M10="",2,'Plot Layout'!M10+1))</f>
        <v>0</v>
      </c>
      <c r="IB13">
        <f ca="1">INDIRECT("'Data 12'!IB"&amp;IF('Plot Layout'!M10="",2,'Plot Layout'!M10+1))</f>
        <v>0</v>
      </c>
      <c r="IC13">
        <f ca="1">INDIRECT("'Data 12'!IC"&amp;IF('Plot Layout'!M10="",2,'Plot Layout'!M10+1))</f>
        <v>0</v>
      </c>
      <c r="ID13">
        <f ca="1">INDIRECT("'Data 12'!ID"&amp;IF('Plot Layout'!M10="",2,'Plot Layout'!M10+1))</f>
        <v>0</v>
      </c>
      <c r="IE13">
        <f ca="1">INDIRECT("'Data 12'!IE"&amp;IF('Plot Layout'!M10="",2,'Plot Layout'!M10+1))</f>
        <v>0</v>
      </c>
      <c r="IF13">
        <f ca="1">INDIRECT("'Data 12'!IF"&amp;IF('Plot Layout'!M10="",2,'Plot Layout'!M10+1))</f>
        <v>0</v>
      </c>
      <c r="IG13">
        <f ca="1">INDIRECT("'Data 12'!IG"&amp;IF('Plot Layout'!M10="",2,'Plot Layout'!M10+1))</f>
        <v>0</v>
      </c>
      <c r="IH13">
        <f ca="1">INDIRECT("'Data 12'!IH"&amp;IF('Plot Layout'!M10="",2,'Plot Layout'!M10+1))</f>
        <v>0</v>
      </c>
      <c r="II13">
        <f ca="1">INDIRECT("'Data 12'!II"&amp;IF('Plot Layout'!M10="",2,'Plot Layout'!M10+1))</f>
        <v>0</v>
      </c>
      <c r="IJ13">
        <f ca="1">INDIRECT("'Data 12'!IJ"&amp;IF('Plot Layout'!M10="",2,'Plot Layout'!M10+1))</f>
        <v>0</v>
      </c>
      <c r="IK13">
        <f ca="1">INDIRECT("'Data 12'!IK"&amp;IF('Plot Layout'!M10="",2,'Plot Layout'!M10+1))</f>
        <v>0</v>
      </c>
      <c r="IL13">
        <f ca="1">INDIRECT("'Data 12'!IL"&amp;IF('Plot Layout'!M10="",2,'Plot Layout'!M10+1))</f>
        <v>0</v>
      </c>
      <c r="IM13">
        <f ca="1">INDIRECT("'Data 12'!IM"&amp;IF('Plot Layout'!M10="",2,'Plot Layout'!M10+1))</f>
        <v>0</v>
      </c>
      <c r="IN13">
        <f ca="1">INDIRECT("'Data 12'!IN"&amp;IF('Plot Layout'!M10="",2,'Plot Layout'!M10+1))</f>
        <v>0</v>
      </c>
      <c r="IO13">
        <f ca="1">INDIRECT("'Data 12'!IO"&amp;IF('Plot Layout'!M10="",2,'Plot Layout'!M10+1))</f>
        <v>0</v>
      </c>
      <c r="IP13">
        <f ca="1">INDIRECT("'Data 12'!IP"&amp;IF('Plot Layout'!M10="",2,'Plot Layout'!M10+1))</f>
        <v>0</v>
      </c>
      <c r="IQ13">
        <f ca="1">INDIRECT("'Data 12'!IQ"&amp;IF('Plot Layout'!M10="",2,'Plot Layout'!M10+1))</f>
        <v>0</v>
      </c>
      <c r="IR13">
        <f ca="1">INDIRECT("'Data 12'!IR"&amp;IF('Plot Layout'!M10="",2,'Plot Layout'!M10+1))</f>
        <v>0</v>
      </c>
      <c r="IS13">
        <f ca="1">INDIRECT("'Data 12'!IS"&amp;IF('Plot Layout'!M10="",2,'Plot Layout'!M10+1))</f>
        <v>0</v>
      </c>
      <c r="IT13">
        <f ca="1">INDIRECT("'Data 12'!IT"&amp;IF('Plot Layout'!M10="",2,'Plot Layout'!M10+1))</f>
        <v>0</v>
      </c>
      <c r="IU13">
        <f ca="1">INDIRECT("'Data 12'!IU"&amp;IF('Plot Layout'!M10="",2,'Plot Layout'!M10+1))</f>
        <v>0</v>
      </c>
      <c r="IV13">
        <f ca="1">INDIRECT("'Data 12'!IV"&amp;IF('Plot Layout'!M10="",2,'Plot Layout'!M10+1))</f>
        <v>0</v>
      </c>
    </row>
    <row r="14" spans="1:256">
      <c r="A14">
        <f ca="1">INDIRECT("'Data 13'!A"&amp;IF('Plot Layout'!N10="",2,'Plot Layout'!N10+1))</f>
        <v>70</v>
      </c>
      <c r="B14">
        <f ca="1">INDIRECT("'Data 13'!B"&amp;IF('Plot Layout'!N10="",2,'Plot Layout'!N10+1))</f>
        <v>1.25</v>
      </c>
      <c r="C14" t="str">
        <f ca="1">INDIRECT("'Data 13'!C"&amp;IF('Plot Layout'!N10="",2,'Plot Layout'!N10+1))</f>
        <v>65-810</v>
      </c>
      <c r="D14">
        <f ca="1">INDIRECT("'Data 13'!D"&amp;IF('Plot Layout'!N10="",2,'Plot Layout'!N10+1))</f>
        <v>6.7000000000000002E-3</v>
      </c>
      <c r="E14">
        <f ca="1">INDIRECT("'Data 13'!E"&amp;IF('Plot Layout'!N10="",2,'Plot Layout'!N10+1))</f>
        <v>1.5E-3</v>
      </c>
      <c r="F14">
        <f ca="1">INDIRECT("'Data 13'!F"&amp;IF('Plot Layout'!N10="",2,'Plot Layout'!N10+1))</f>
        <v>0.1</v>
      </c>
      <c r="G14">
        <f ca="1">INDIRECT("'Data 13'!G"&amp;IF('Plot Layout'!N10="",2,'Plot Layout'!N10+1))</f>
        <v>8</v>
      </c>
      <c r="H14">
        <f ca="1">INDIRECT("'Data 13'!H"&amp;IF('Plot Layout'!N10="",2,'Plot Layout'!N10+1))</f>
        <v>0</v>
      </c>
      <c r="I14">
        <f ca="1">INDIRECT("'Data 13'!I"&amp;IF('Plot Layout'!N10="",2,'Plot Layout'!N10+1))</f>
        <v>9.1999999999999993</v>
      </c>
      <c r="J14">
        <f ca="1">INDIRECT("'Data 13'!J"&amp;IF('Plot Layout'!N10="",2,'Plot Layout'!N10+1))</f>
        <v>19</v>
      </c>
      <c r="K14">
        <f ca="1">INDIRECT("'Data 13'!K"&amp;IF('Plot Layout'!N10="",2,'Plot Layout'!N10+1))</f>
        <v>22.8</v>
      </c>
      <c r="L14">
        <f ca="1">INDIRECT("'Data 13'!L"&amp;IF('Plot Layout'!N10="",2,'Plot Layout'!N10+1))</f>
        <v>15.4</v>
      </c>
      <c r="M14">
        <f ca="1">INDIRECT("'Data 13'!M"&amp;IF('Plot Layout'!N10="",2,'Plot Layout'!N10+1))</f>
        <v>0.34599999999999997</v>
      </c>
      <c r="N14">
        <f ca="1">INDIRECT("'Data 13'!N"&amp;IF('Plot Layout'!N10="",2,'Plot Layout'!N10+1))</f>
        <v>1.2350000000000001</v>
      </c>
      <c r="O14">
        <f ca="1">INDIRECT("'Data 13'!O"&amp;IF('Plot Layout'!N10="",2,'Plot Layout'!N10+1))</f>
        <v>6</v>
      </c>
      <c r="P14">
        <f ca="1">INDIRECT("'Data 13'!P"&amp;IF('Plot Layout'!N10="",2,'Plot Layout'!N10+1))</f>
        <v>8</v>
      </c>
      <c r="Q14">
        <f ca="1">INDIRECT("'Data 13'!Q"&amp;IF('Plot Layout'!N10="",2,'Plot Layout'!N10+1))</f>
        <v>0.01</v>
      </c>
      <c r="R14">
        <f ca="1">INDIRECT("'Data 13'!R"&amp;IF('Plot Layout'!N10="",2,'Plot Layout'!N10+1))</f>
        <v>0</v>
      </c>
      <c r="S14">
        <f ca="1">INDIRECT("'Data 13'!S"&amp;IF('Plot Layout'!N10="",2,'Plot Layout'!N10+1))</f>
        <v>0</v>
      </c>
      <c r="T14">
        <f ca="1">INDIRECT("'Data 13'!T"&amp;IF('Plot Layout'!N10="",2,'Plot Layout'!N10+1))</f>
        <v>0</v>
      </c>
      <c r="U14">
        <f ca="1">INDIRECT("'Data 13'!U"&amp;IF('Plot Layout'!N10="",2,'Plot Layout'!N10+1))</f>
        <v>0</v>
      </c>
      <c r="V14">
        <f ca="1">INDIRECT("'Data 13'!V"&amp;IF('Plot Layout'!N10="",2,'Plot Layout'!N10+1))</f>
        <v>0</v>
      </c>
      <c r="W14">
        <f ca="1">INDIRECT("'Data 13'!W"&amp;IF('Plot Layout'!N10="",2,'Plot Layout'!N10+1))</f>
        <v>0</v>
      </c>
      <c r="X14">
        <f ca="1">INDIRECT("'Data 13'!X"&amp;IF('Plot Layout'!N10="",2,'Plot Layout'!N10+1))</f>
        <v>0</v>
      </c>
      <c r="Y14">
        <f ca="1">INDIRECT("'Data 13'!Y"&amp;IF('Plot Layout'!N10="",2,'Plot Layout'!N10+1))</f>
        <v>0</v>
      </c>
      <c r="Z14">
        <f ca="1">INDIRECT("'Data 13'!Z"&amp;IF('Plot Layout'!N10="",2,'Plot Layout'!N10+1))</f>
        <v>0</v>
      </c>
      <c r="AA14">
        <f ca="1">INDIRECT("'Data 13'!AA"&amp;IF('Plot Layout'!N10="",2,'Plot Layout'!N10+1))</f>
        <v>0</v>
      </c>
      <c r="AB14">
        <f ca="1">INDIRECT("'Data 13'!AB"&amp;IF('Plot Layout'!N10="",2,'Plot Layout'!N10+1))</f>
        <v>0</v>
      </c>
      <c r="AC14">
        <f ca="1">INDIRECT("'Data 13'!AC"&amp;IF('Plot Layout'!N10="",2,'Plot Layout'!N10+1))</f>
        <v>0</v>
      </c>
      <c r="AD14">
        <f ca="1">INDIRECT("'Data 13'!AD"&amp;IF('Plot Layout'!N10="",2,'Plot Layout'!N10+1))</f>
        <v>0</v>
      </c>
      <c r="AE14">
        <f ca="1">INDIRECT("'Data 13'!AE"&amp;IF('Plot Layout'!N10="",2,'Plot Layout'!N10+1))</f>
        <v>0</v>
      </c>
      <c r="AF14">
        <f ca="1">INDIRECT("'Data 13'!AF"&amp;IF('Plot Layout'!N10="",2,'Plot Layout'!N10+1))</f>
        <v>0</v>
      </c>
      <c r="AG14">
        <f ca="1">INDIRECT("'Data 13'!AG"&amp;IF('Plot Layout'!N10="",2,'Plot Layout'!N10+1))</f>
        <v>0</v>
      </c>
      <c r="AH14">
        <f ca="1">INDIRECT("'Data 13'!AH"&amp;IF('Plot Layout'!N10="",2,'Plot Layout'!N10+1))</f>
        <v>0</v>
      </c>
      <c r="AI14">
        <f ca="1">INDIRECT("'Data 13'!AI"&amp;IF('Plot Layout'!N10="",2,'Plot Layout'!N10+1))</f>
        <v>0</v>
      </c>
      <c r="AJ14">
        <f ca="1">INDIRECT("'Data 13'!AJ"&amp;IF('Plot Layout'!N10="",2,'Plot Layout'!N10+1))</f>
        <v>0</v>
      </c>
      <c r="AK14">
        <f ca="1">INDIRECT("'Data 13'!AK"&amp;IF('Plot Layout'!N10="",2,'Plot Layout'!N10+1))</f>
        <v>0</v>
      </c>
      <c r="AL14">
        <f ca="1">INDIRECT("'Data 13'!AL"&amp;IF('Plot Layout'!N10="",2,'Plot Layout'!N10+1))</f>
        <v>0</v>
      </c>
      <c r="AM14">
        <f ca="1">INDIRECT("'Data 13'!AM"&amp;IF('Plot Layout'!N10="",2,'Plot Layout'!N10+1))</f>
        <v>0</v>
      </c>
      <c r="AN14">
        <f ca="1">INDIRECT("'Data 13'!AN"&amp;IF('Plot Layout'!N10="",2,'Plot Layout'!N10+1))</f>
        <v>0</v>
      </c>
      <c r="AO14">
        <f ca="1">INDIRECT("'Data 13'!AO"&amp;IF('Plot Layout'!N10="",2,'Plot Layout'!N10+1))</f>
        <v>0</v>
      </c>
      <c r="AP14">
        <f ca="1">INDIRECT("'Data 13'!AP"&amp;IF('Plot Layout'!N10="",2,'Plot Layout'!N10+1))</f>
        <v>0</v>
      </c>
      <c r="AQ14">
        <f ca="1">INDIRECT("'Data 13'!AQ"&amp;IF('Plot Layout'!N10="",2,'Plot Layout'!N10+1))</f>
        <v>0</v>
      </c>
      <c r="AR14">
        <f ca="1">INDIRECT("'Data 13'!AR"&amp;IF('Plot Layout'!N10="",2,'Plot Layout'!N10+1))</f>
        <v>0</v>
      </c>
      <c r="AS14">
        <f ca="1">INDIRECT("'Data 13'!AS"&amp;IF('Plot Layout'!N10="",2,'Plot Layout'!N10+1))</f>
        <v>0</v>
      </c>
      <c r="AT14">
        <f ca="1">INDIRECT("'Data 13'!AT"&amp;IF('Plot Layout'!N10="",2,'Plot Layout'!N10+1))</f>
        <v>0</v>
      </c>
      <c r="AU14">
        <f ca="1">INDIRECT("'Data 13'!AU"&amp;IF('Plot Layout'!N10="",2,'Plot Layout'!N10+1))</f>
        <v>0</v>
      </c>
      <c r="AV14">
        <f ca="1">INDIRECT("'Data 13'!AV"&amp;IF('Plot Layout'!N10="",2,'Plot Layout'!N10+1))</f>
        <v>0</v>
      </c>
      <c r="AW14">
        <f ca="1">INDIRECT("'Data 13'!AW"&amp;IF('Plot Layout'!N10="",2,'Plot Layout'!N10+1))</f>
        <v>0</v>
      </c>
      <c r="AX14">
        <f ca="1">INDIRECT("'Data 13'!AX"&amp;IF('Plot Layout'!N10="",2,'Plot Layout'!N10+1))</f>
        <v>0</v>
      </c>
      <c r="AY14">
        <f ca="1">INDIRECT("'Data 13'!AY"&amp;IF('Plot Layout'!N10="",2,'Plot Layout'!N10+1))</f>
        <v>0</v>
      </c>
      <c r="AZ14">
        <f ca="1">INDIRECT("'Data 13'!AZ"&amp;IF('Plot Layout'!N10="",2,'Plot Layout'!N10+1))</f>
        <v>0</v>
      </c>
      <c r="BA14">
        <f ca="1">INDIRECT("'Data 13'!BA"&amp;IF('Plot Layout'!N10="",2,'Plot Layout'!N10+1))</f>
        <v>0</v>
      </c>
      <c r="BB14">
        <f ca="1">INDIRECT("'Data 13'!BB"&amp;IF('Plot Layout'!N10="",2,'Plot Layout'!N10+1))</f>
        <v>0</v>
      </c>
      <c r="BC14">
        <f ca="1">INDIRECT("'Data 13'!BC"&amp;IF('Plot Layout'!N10="",2,'Plot Layout'!N10+1))</f>
        <v>0</v>
      </c>
      <c r="BD14">
        <f ca="1">INDIRECT("'Data 13'!BD"&amp;IF('Plot Layout'!N10="",2,'Plot Layout'!N10+1))</f>
        <v>0</v>
      </c>
      <c r="BE14">
        <f ca="1">INDIRECT("'Data 13'!BE"&amp;IF('Plot Layout'!N10="",2,'Plot Layout'!N10+1))</f>
        <v>0</v>
      </c>
      <c r="BF14">
        <f ca="1">INDIRECT("'Data 13'!BF"&amp;IF('Plot Layout'!N10="",2,'Plot Layout'!N10+1))</f>
        <v>0</v>
      </c>
      <c r="BG14">
        <f ca="1">INDIRECT("'Data 13'!BG"&amp;IF('Plot Layout'!N10="",2,'Plot Layout'!N10+1))</f>
        <v>0</v>
      </c>
      <c r="BH14">
        <f ca="1">INDIRECT("'Data 13'!BH"&amp;IF('Plot Layout'!N10="",2,'Plot Layout'!N10+1))</f>
        <v>0</v>
      </c>
      <c r="BI14">
        <f ca="1">INDIRECT("'Data 13'!BI"&amp;IF('Plot Layout'!N10="",2,'Plot Layout'!N10+1))</f>
        <v>0</v>
      </c>
      <c r="BJ14">
        <f ca="1">INDIRECT("'Data 13'!BJ"&amp;IF('Plot Layout'!N10="",2,'Plot Layout'!N10+1))</f>
        <v>0</v>
      </c>
      <c r="BK14">
        <f ca="1">INDIRECT("'Data 13'!BK"&amp;IF('Plot Layout'!N10="",2,'Plot Layout'!N10+1))</f>
        <v>0</v>
      </c>
      <c r="BL14">
        <f ca="1">INDIRECT("'Data 13'!BL"&amp;IF('Plot Layout'!N10="",2,'Plot Layout'!N10+1))</f>
        <v>0</v>
      </c>
      <c r="BM14">
        <f ca="1">INDIRECT("'Data 13'!BM"&amp;IF('Plot Layout'!N10="",2,'Plot Layout'!N10+1))</f>
        <v>0</v>
      </c>
      <c r="BN14">
        <f ca="1">INDIRECT("'Data 13'!BN"&amp;IF('Plot Layout'!N10="",2,'Plot Layout'!N10+1))</f>
        <v>0</v>
      </c>
      <c r="BO14">
        <f ca="1">INDIRECT("'Data 13'!BO"&amp;IF('Plot Layout'!N10="",2,'Plot Layout'!N10+1))</f>
        <v>0</v>
      </c>
      <c r="BP14">
        <f ca="1">INDIRECT("'Data 13'!BP"&amp;IF('Plot Layout'!N10="",2,'Plot Layout'!N10+1))</f>
        <v>0</v>
      </c>
      <c r="BQ14">
        <f ca="1">INDIRECT("'Data 13'!BQ"&amp;IF('Plot Layout'!N10="",2,'Plot Layout'!N10+1))</f>
        <v>0</v>
      </c>
      <c r="BR14">
        <f ca="1">INDIRECT("'Data 13'!BR"&amp;IF('Plot Layout'!N10="",2,'Plot Layout'!N10+1))</f>
        <v>0</v>
      </c>
      <c r="BS14">
        <f ca="1">INDIRECT("'Data 13'!BS"&amp;IF('Plot Layout'!N10="",2,'Plot Layout'!N10+1))</f>
        <v>0</v>
      </c>
      <c r="BT14">
        <f ca="1">INDIRECT("'Data 13'!BT"&amp;IF('Plot Layout'!N10="",2,'Plot Layout'!N10+1))</f>
        <v>0</v>
      </c>
      <c r="BU14">
        <f ca="1">INDIRECT("'Data 13'!BU"&amp;IF('Plot Layout'!N10="",2,'Plot Layout'!N10+1))</f>
        <v>0</v>
      </c>
      <c r="BV14">
        <f ca="1">INDIRECT("'Data 13'!BV"&amp;IF('Plot Layout'!N10="",2,'Plot Layout'!N10+1))</f>
        <v>0</v>
      </c>
      <c r="BW14">
        <f ca="1">INDIRECT("'Data 13'!BW"&amp;IF('Plot Layout'!N10="",2,'Plot Layout'!N10+1))</f>
        <v>0</v>
      </c>
      <c r="BX14">
        <f ca="1">INDIRECT("'Data 13'!BX"&amp;IF('Plot Layout'!N10="",2,'Plot Layout'!N10+1))</f>
        <v>0</v>
      </c>
      <c r="BY14">
        <f ca="1">INDIRECT("'Data 13'!BY"&amp;IF('Plot Layout'!N10="",2,'Plot Layout'!N10+1))</f>
        <v>0</v>
      </c>
      <c r="BZ14">
        <f ca="1">INDIRECT("'Data 13'!BZ"&amp;IF('Plot Layout'!N10="",2,'Plot Layout'!N10+1))</f>
        <v>0</v>
      </c>
      <c r="CA14">
        <f ca="1">INDIRECT("'Data 13'!CA"&amp;IF('Plot Layout'!N10="",2,'Plot Layout'!N10+1))</f>
        <v>0</v>
      </c>
      <c r="CB14">
        <f ca="1">INDIRECT("'Data 13'!CB"&amp;IF('Plot Layout'!N10="",2,'Plot Layout'!N10+1))</f>
        <v>0</v>
      </c>
      <c r="CC14">
        <f ca="1">INDIRECT("'Data 13'!CC"&amp;IF('Plot Layout'!N10="",2,'Plot Layout'!N10+1))</f>
        <v>0</v>
      </c>
      <c r="CD14">
        <f ca="1">INDIRECT("'Data 13'!CD"&amp;IF('Plot Layout'!N10="",2,'Plot Layout'!N10+1))</f>
        <v>0</v>
      </c>
      <c r="CE14">
        <f ca="1">INDIRECT("'Data 13'!CE"&amp;IF('Plot Layout'!N10="",2,'Plot Layout'!N10+1))</f>
        <v>0</v>
      </c>
      <c r="CF14">
        <f ca="1">INDIRECT("'Data 13'!CF"&amp;IF('Plot Layout'!N10="",2,'Plot Layout'!N10+1))</f>
        <v>0</v>
      </c>
      <c r="CG14">
        <f ca="1">INDIRECT("'Data 13'!CG"&amp;IF('Plot Layout'!N10="",2,'Plot Layout'!N10+1))</f>
        <v>0</v>
      </c>
      <c r="CH14">
        <f ca="1">INDIRECT("'Data 13'!CH"&amp;IF('Plot Layout'!N10="",2,'Plot Layout'!N10+1))</f>
        <v>0</v>
      </c>
      <c r="CI14">
        <f ca="1">INDIRECT("'Data 13'!CI"&amp;IF('Plot Layout'!N10="",2,'Plot Layout'!N10+1))</f>
        <v>0</v>
      </c>
      <c r="CJ14">
        <f ca="1">INDIRECT("'Data 13'!CJ"&amp;IF('Plot Layout'!N10="",2,'Plot Layout'!N10+1))</f>
        <v>0</v>
      </c>
      <c r="CK14">
        <f ca="1">INDIRECT("'Data 13'!CK"&amp;IF('Plot Layout'!N10="",2,'Plot Layout'!N10+1))</f>
        <v>0</v>
      </c>
      <c r="CL14">
        <f ca="1">INDIRECT("'Data 13'!CL"&amp;IF('Plot Layout'!N10="",2,'Plot Layout'!N10+1))</f>
        <v>0</v>
      </c>
      <c r="CM14">
        <f ca="1">INDIRECT("'Data 13'!CM"&amp;IF('Plot Layout'!N10="",2,'Plot Layout'!N10+1))</f>
        <v>0</v>
      </c>
      <c r="CN14">
        <f ca="1">INDIRECT("'Data 13'!CN"&amp;IF('Plot Layout'!N10="",2,'Plot Layout'!N10+1))</f>
        <v>0</v>
      </c>
      <c r="CO14">
        <f ca="1">INDIRECT("'Data 13'!CO"&amp;IF('Plot Layout'!N10="",2,'Plot Layout'!N10+1))</f>
        <v>0</v>
      </c>
      <c r="CP14">
        <f ca="1">INDIRECT("'Data 13'!CP"&amp;IF('Plot Layout'!N10="",2,'Plot Layout'!N10+1))</f>
        <v>0</v>
      </c>
      <c r="CQ14">
        <f ca="1">INDIRECT("'Data 13'!CQ"&amp;IF('Plot Layout'!N10="",2,'Plot Layout'!N10+1))</f>
        <v>0</v>
      </c>
      <c r="CR14">
        <f ca="1">INDIRECT("'Data 13'!CR"&amp;IF('Plot Layout'!N10="",2,'Plot Layout'!N10+1))</f>
        <v>0</v>
      </c>
      <c r="CS14">
        <f ca="1">INDIRECT("'Data 13'!CS"&amp;IF('Plot Layout'!N10="",2,'Plot Layout'!N10+1))</f>
        <v>0</v>
      </c>
      <c r="CT14">
        <f ca="1">INDIRECT("'Data 13'!CT"&amp;IF('Plot Layout'!N10="",2,'Plot Layout'!N10+1))</f>
        <v>0</v>
      </c>
      <c r="CU14">
        <f ca="1">INDIRECT("'Data 13'!CU"&amp;IF('Plot Layout'!N10="",2,'Plot Layout'!N10+1))</f>
        <v>0</v>
      </c>
      <c r="CV14">
        <f ca="1">INDIRECT("'Data 13'!CV"&amp;IF('Plot Layout'!N10="",2,'Plot Layout'!N10+1))</f>
        <v>0</v>
      </c>
      <c r="CW14">
        <f ca="1">INDIRECT("'Data 13'!CW"&amp;IF('Plot Layout'!N10="",2,'Plot Layout'!N10+1))</f>
        <v>0</v>
      </c>
      <c r="CX14">
        <f ca="1">INDIRECT("'Data 13'!CX"&amp;IF('Plot Layout'!N10="",2,'Plot Layout'!N10+1))</f>
        <v>0</v>
      </c>
      <c r="CY14">
        <f ca="1">INDIRECT("'Data 13'!CY"&amp;IF('Plot Layout'!N10="",2,'Plot Layout'!N10+1))</f>
        <v>0</v>
      </c>
      <c r="CZ14">
        <f ca="1">INDIRECT("'Data 13'!CZ"&amp;IF('Plot Layout'!N10="",2,'Plot Layout'!N10+1))</f>
        <v>0</v>
      </c>
      <c r="DA14">
        <f ca="1">INDIRECT("'Data 13'!DA"&amp;IF('Plot Layout'!N10="",2,'Plot Layout'!N10+1))</f>
        <v>0</v>
      </c>
      <c r="DB14">
        <f ca="1">INDIRECT("'Data 13'!DB"&amp;IF('Plot Layout'!N10="",2,'Plot Layout'!N10+1))</f>
        <v>0</v>
      </c>
      <c r="DC14">
        <f ca="1">INDIRECT("'Data 13'!DC"&amp;IF('Plot Layout'!N10="",2,'Plot Layout'!N10+1))</f>
        <v>0</v>
      </c>
      <c r="DD14">
        <f ca="1">INDIRECT("'Data 13'!DD"&amp;IF('Plot Layout'!N10="",2,'Plot Layout'!N10+1))</f>
        <v>0</v>
      </c>
      <c r="DE14">
        <f ca="1">INDIRECT("'Data 13'!DE"&amp;IF('Plot Layout'!N10="",2,'Plot Layout'!N10+1))</f>
        <v>0</v>
      </c>
      <c r="DF14">
        <f ca="1">INDIRECT("'Data 13'!DF"&amp;IF('Plot Layout'!N10="",2,'Plot Layout'!N10+1))</f>
        <v>0</v>
      </c>
      <c r="DG14">
        <f ca="1">INDIRECT("'Data 13'!DG"&amp;IF('Plot Layout'!N10="",2,'Plot Layout'!N10+1))</f>
        <v>0</v>
      </c>
      <c r="DH14">
        <f ca="1">INDIRECT("'Data 13'!DH"&amp;IF('Plot Layout'!N10="",2,'Plot Layout'!N10+1))</f>
        <v>0</v>
      </c>
      <c r="DI14">
        <f ca="1">INDIRECT("'Data 13'!DI"&amp;IF('Plot Layout'!N10="",2,'Plot Layout'!N10+1))</f>
        <v>0</v>
      </c>
      <c r="DJ14">
        <f ca="1">INDIRECT("'Data 13'!DJ"&amp;IF('Plot Layout'!N10="",2,'Plot Layout'!N10+1))</f>
        <v>0</v>
      </c>
      <c r="DK14">
        <f ca="1">INDIRECT("'Data 13'!DK"&amp;IF('Plot Layout'!N10="",2,'Plot Layout'!N10+1))</f>
        <v>0</v>
      </c>
      <c r="DL14">
        <f ca="1">INDIRECT("'Data 13'!DL"&amp;IF('Plot Layout'!N10="",2,'Plot Layout'!N10+1))</f>
        <v>0</v>
      </c>
      <c r="DM14">
        <f ca="1">INDIRECT("'Data 13'!DM"&amp;IF('Plot Layout'!N10="",2,'Plot Layout'!N10+1))</f>
        <v>0</v>
      </c>
      <c r="DN14">
        <f ca="1">INDIRECT("'Data 13'!DN"&amp;IF('Plot Layout'!N10="",2,'Plot Layout'!N10+1))</f>
        <v>0</v>
      </c>
      <c r="DO14">
        <f ca="1">INDIRECT("'Data 13'!DO"&amp;IF('Plot Layout'!N10="",2,'Plot Layout'!N10+1))</f>
        <v>0</v>
      </c>
      <c r="DP14">
        <f ca="1">INDIRECT("'Data 13'!DP"&amp;IF('Plot Layout'!N10="",2,'Plot Layout'!N10+1))</f>
        <v>0</v>
      </c>
      <c r="DQ14">
        <f ca="1">INDIRECT("'Data 13'!DQ"&amp;IF('Plot Layout'!N10="",2,'Plot Layout'!N10+1))</f>
        <v>0</v>
      </c>
      <c r="DR14">
        <f ca="1">INDIRECT("'Data 13'!DR"&amp;IF('Plot Layout'!N10="",2,'Plot Layout'!N10+1))</f>
        <v>0</v>
      </c>
      <c r="DS14">
        <f ca="1">INDIRECT("'Data 13'!DS"&amp;IF('Plot Layout'!N10="",2,'Plot Layout'!N10+1))</f>
        <v>0</v>
      </c>
      <c r="DT14">
        <f ca="1">INDIRECT("'Data 13'!DT"&amp;IF('Plot Layout'!N10="",2,'Plot Layout'!N10+1))</f>
        <v>0</v>
      </c>
      <c r="DU14">
        <f ca="1">INDIRECT("'Data 13'!DU"&amp;IF('Plot Layout'!N10="",2,'Plot Layout'!N10+1))</f>
        <v>0</v>
      </c>
      <c r="DV14">
        <f ca="1">INDIRECT("'Data 13'!DV"&amp;IF('Plot Layout'!N10="",2,'Plot Layout'!N10+1))</f>
        <v>0</v>
      </c>
      <c r="DW14">
        <f ca="1">INDIRECT("'Data 13'!DW"&amp;IF('Plot Layout'!N10="",2,'Plot Layout'!N10+1))</f>
        <v>0</v>
      </c>
      <c r="DX14">
        <f ca="1">INDIRECT("'Data 13'!DX"&amp;IF('Plot Layout'!N10="",2,'Plot Layout'!N10+1))</f>
        <v>0</v>
      </c>
      <c r="DY14">
        <f ca="1">INDIRECT("'Data 13'!DY"&amp;IF('Plot Layout'!N10="",2,'Plot Layout'!N10+1))</f>
        <v>0</v>
      </c>
      <c r="DZ14">
        <f ca="1">INDIRECT("'Data 13'!DZ"&amp;IF('Plot Layout'!N10="",2,'Plot Layout'!N10+1))</f>
        <v>0</v>
      </c>
      <c r="EA14">
        <f ca="1">INDIRECT("'Data 13'!EA"&amp;IF('Plot Layout'!N10="",2,'Plot Layout'!N10+1))</f>
        <v>0</v>
      </c>
      <c r="EB14">
        <f ca="1">INDIRECT("'Data 13'!EB"&amp;IF('Plot Layout'!N10="",2,'Plot Layout'!N10+1))</f>
        <v>0</v>
      </c>
      <c r="EC14">
        <f ca="1">INDIRECT("'Data 13'!EC"&amp;IF('Plot Layout'!N10="",2,'Plot Layout'!N10+1))</f>
        <v>0</v>
      </c>
      <c r="ED14">
        <f ca="1">INDIRECT("'Data 13'!ED"&amp;IF('Plot Layout'!N10="",2,'Plot Layout'!N10+1))</f>
        <v>0</v>
      </c>
      <c r="EE14">
        <f ca="1">INDIRECT("'Data 13'!EE"&amp;IF('Plot Layout'!N10="",2,'Plot Layout'!N10+1))</f>
        <v>0</v>
      </c>
      <c r="EF14">
        <f ca="1">INDIRECT("'Data 13'!EF"&amp;IF('Plot Layout'!N10="",2,'Plot Layout'!N10+1))</f>
        <v>0</v>
      </c>
      <c r="EG14">
        <f ca="1">INDIRECT("'Data 13'!EG"&amp;IF('Plot Layout'!N10="",2,'Plot Layout'!N10+1))</f>
        <v>0</v>
      </c>
      <c r="EH14">
        <f ca="1">INDIRECT("'Data 13'!EH"&amp;IF('Plot Layout'!N10="",2,'Plot Layout'!N10+1))</f>
        <v>0</v>
      </c>
      <c r="EI14">
        <f ca="1">INDIRECT("'Data 13'!EI"&amp;IF('Plot Layout'!N10="",2,'Plot Layout'!N10+1))</f>
        <v>0</v>
      </c>
      <c r="EJ14">
        <f ca="1">INDIRECT("'Data 13'!EJ"&amp;IF('Plot Layout'!N10="",2,'Plot Layout'!N10+1))</f>
        <v>0</v>
      </c>
      <c r="EK14">
        <f ca="1">INDIRECT("'Data 13'!EK"&amp;IF('Plot Layout'!N10="",2,'Plot Layout'!N10+1))</f>
        <v>0</v>
      </c>
      <c r="EL14">
        <f ca="1">INDIRECT("'Data 13'!EL"&amp;IF('Plot Layout'!N10="",2,'Plot Layout'!N10+1))</f>
        <v>0</v>
      </c>
      <c r="EM14">
        <f ca="1">INDIRECT("'Data 13'!EM"&amp;IF('Plot Layout'!N10="",2,'Plot Layout'!N10+1))</f>
        <v>0</v>
      </c>
      <c r="EN14">
        <f ca="1">INDIRECT("'Data 13'!EN"&amp;IF('Plot Layout'!N10="",2,'Plot Layout'!N10+1))</f>
        <v>0</v>
      </c>
      <c r="EO14">
        <f ca="1">INDIRECT("'Data 13'!EO"&amp;IF('Plot Layout'!N10="",2,'Plot Layout'!N10+1))</f>
        <v>0</v>
      </c>
      <c r="EP14">
        <f ca="1">INDIRECT("'Data 13'!EP"&amp;IF('Plot Layout'!N10="",2,'Plot Layout'!N10+1))</f>
        <v>0</v>
      </c>
      <c r="EQ14">
        <f ca="1">INDIRECT("'Data 13'!EQ"&amp;IF('Plot Layout'!N10="",2,'Plot Layout'!N10+1))</f>
        <v>0</v>
      </c>
      <c r="ER14">
        <f ca="1">INDIRECT("'Data 13'!ER"&amp;IF('Plot Layout'!N10="",2,'Plot Layout'!N10+1))</f>
        <v>0</v>
      </c>
      <c r="ES14">
        <f ca="1">INDIRECT("'Data 13'!ES"&amp;IF('Plot Layout'!N10="",2,'Plot Layout'!N10+1))</f>
        <v>0</v>
      </c>
      <c r="ET14">
        <f ca="1">INDIRECT("'Data 13'!ET"&amp;IF('Plot Layout'!N10="",2,'Plot Layout'!N10+1))</f>
        <v>0</v>
      </c>
      <c r="EU14">
        <f ca="1">INDIRECT("'Data 13'!EU"&amp;IF('Plot Layout'!N10="",2,'Plot Layout'!N10+1))</f>
        <v>0</v>
      </c>
      <c r="EV14">
        <f ca="1">INDIRECT("'Data 13'!EV"&amp;IF('Plot Layout'!N10="",2,'Plot Layout'!N10+1))</f>
        <v>0</v>
      </c>
      <c r="EW14">
        <f ca="1">INDIRECT("'Data 13'!EW"&amp;IF('Plot Layout'!N10="",2,'Plot Layout'!N10+1))</f>
        <v>0</v>
      </c>
      <c r="EX14">
        <f ca="1">INDIRECT("'Data 13'!EX"&amp;IF('Plot Layout'!N10="",2,'Plot Layout'!N10+1))</f>
        <v>0</v>
      </c>
      <c r="EY14">
        <f ca="1">INDIRECT("'Data 13'!EY"&amp;IF('Plot Layout'!N10="",2,'Plot Layout'!N10+1))</f>
        <v>0</v>
      </c>
      <c r="EZ14">
        <f ca="1">INDIRECT("'Data 13'!EZ"&amp;IF('Plot Layout'!N10="",2,'Plot Layout'!N10+1))</f>
        <v>0</v>
      </c>
      <c r="FA14">
        <f ca="1">INDIRECT("'Data 13'!FA"&amp;IF('Plot Layout'!N10="",2,'Plot Layout'!N10+1))</f>
        <v>0</v>
      </c>
      <c r="FB14">
        <f ca="1">INDIRECT("'Data 13'!FB"&amp;IF('Plot Layout'!N10="",2,'Plot Layout'!N10+1))</f>
        <v>0</v>
      </c>
      <c r="FC14">
        <f ca="1">INDIRECT("'Data 13'!FC"&amp;IF('Plot Layout'!N10="",2,'Plot Layout'!N10+1))</f>
        <v>0</v>
      </c>
      <c r="FD14">
        <f ca="1">INDIRECT("'Data 13'!FD"&amp;IF('Plot Layout'!N10="",2,'Plot Layout'!N10+1))</f>
        <v>0</v>
      </c>
      <c r="FE14">
        <f ca="1">INDIRECT("'Data 13'!FE"&amp;IF('Plot Layout'!N10="",2,'Plot Layout'!N10+1))</f>
        <v>0</v>
      </c>
      <c r="FF14">
        <f ca="1">INDIRECT("'Data 13'!FF"&amp;IF('Plot Layout'!N10="",2,'Plot Layout'!N10+1))</f>
        <v>0</v>
      </c>
      <c r="FG14">
        <f ca="1">INDIRECT("'Data 13'!FG"&amp;IF('Plot Layout'!N10="",2,'Plot Layout'!N10+1))</f>
        <v>0</v>
      </c>
      <c r="FH14">
        <f ca="1">INDIRECT("'Data 13'!FH"&amp;IF('Plot Layout'!N10="",2,'Plot Layout'!N10+1))</f>
        <v>0</v>
      </c>
      <c r="FI14">
        <f ca="1">INDIRECT("'Data 13'!FI"&amp;IF('Plot Layout'!N10="",2,'Plot Layout'!N10+1))</f>
        <v>0</v>
      </c>
      <c r="FJ14">
        <f ca="1">INDIRECT("'Data 13'!FJ"&amp;IF('Plot Layout'!N10="",2,'Plot Layout'!N10+1))</f>
        <v>0</v>
      </c>
      <c r="FK14">
        <f ca="1">INDIRECT("'Data 13'!FK"&amp;IF('Plot Layout'!N10="",2,'Plot Layout'!N10+1))</f>
        <v>0</v>
      </c>
      <c r="FL14">
        <f ca="1">INDIRECT("'Data 13'!FL"&amp;IF('Plot Layout'!N10="",2,'Plot Layout'!N10+1))</f>
        <v>0</v>
      </c>
      <c r="FM14">
        <f ca="1">INDIRECT("'Data 13'!FM"&amp;IF('Plot Layout'!N10="",2,'Plot Layout'!N10+1))</f>
        <v>0</v>
      </c>
      <c r="FN14">
        <f ca="1">INDIRECT("'Data 13'!FN"&amp;IF('Plot Layout'!N10="",2,'Plot Layout'!N10+1))</f>
        <v>0</v>
      </c>
      <c r="FO14">
        <f ca="1">INDIRECT("'Data 13'!FO"&amp;IF('Plot Layout'!N10="",2,'Plot Layout'!N10+1))</f>
        <v>0</v>
      </c>
      <c r="FP14">
        <f ca="1">INDIRECT("'Data 13'!FP"&amp;IF('Plot Layout'!N10="",2,'Plot Layout'!N10+1))</f>
        <v>0</v>
      </c>
      <c r="FQ14">
        <f ca="1">INDIRECT("'Data 13'!FQ"&amp;IF('Plot Layout'!N10="",2,'Plot Layout'!N10+1))</f>
        <v>0</v>
      </c>
      <c r="FR14">
        <f ca="1">INDIRECT("'Data 13'!FR"&amp;IF('Plot Layout'!N10="",2,'Plot Layout'!N10+1))</f>
        <v>0</v>
      </c>
      <c r="FS14">
        <f ca="1">INDIRECT("'Data 13'!FS"&amp;IF('Plot Layout'!N10="",2,'Plot Layout'!N10+1))</f>
        <v>0</v>
      </c>
      <c r="FT14">
        <f ca="1">INDIRECT("'Data 13'!FT"&amp;IF('Plot Layout'!N10="",2,'Plot Layout'!N10+1))</f>
        <v>0</v>
      </c>
      <c r="FU14">
        <f ca="1">INDIRECT("'Data 13'!FU"&amp;IF('Plot Layout'!N10="",2,'Plot Layout'!N10+1))</f>
        <v>0</v>
      </c>
      <c r="FV14">
        <f ca="1">INDIRECT("'Data 13'!FV"&amp;IF('Plot Layout'!N10="",2,'Plot Layout'!N10+1))</f>
        <v>0</v>
      </c>
      <c r="FW14">
        <f ca="1">INDIRECT("'Data 13'!FW"&amp;IF('Plot Layout'!N10="",2,'Plot Layout'!N10+1))</f>
        <v>0</v>
      </c>
      <c r="FX14">
        <f ca="1">INDIRECT("'Data 13'!FX"&amp;IF('Plot Layout'!N10="",2,'Plot Layout'!N10+1))</f>
        <v>0</v>
      </c>
      <c r="FY14">
        <f ca="1">INDIRECT("'Data 13'!FY"&amp;IF('Plot Layout'!N10="",2,'Plot Layout'!N10+1))</f>
        <v>0</v>
      </c>
      <c r="FZ14">
        <f ca="1">INDIRECT("'Data 13'!FZ"&amp;IF('Plot Layout'!N10="",2,'Plot Layout'!N10+1))</f>
        <v>0</v>
      </c>
      <c r="GA14">
        <f ca="1">INDIRECT("'Data 13'!GA"&amp;IF('Plot Layout'!N10="",2,'Plot Layout'!N10+1))</f>
        <v>0</v>
      </c>
      <c r="GB14">
        <f ca="1">INDIRECT("'Data 13'!GB"&amp;IF('Plot Layout'!N10="",2,'Plot Layout'!N10+1))</f>
        <v>0</v>
      </c>
      <c r="GC14">
        <f ca="1">INDIRECT("'Data 13'!GC"&amp;IF('Plot Layout'!N10="",2,'Plot Layout'!N10+1))</f>
        <v>0</v>
      </c>
      <c r="GD14">
        <f ca="1">INDIRECT("'Data 13'!GD"&amp;IF('Plot Layout'!N10="",2,'Plot Layout'!N10+1))</f>
        <v>0</v>
      </c>
      <c r="GE14">
        <f ca="1">INDIRECT("'Data 13'!GE"&amp;IF('Plot Layout'!N10="",2,'Plot Layout'!N10+1))</f>
        <v>0</v>
      </c>
      <c r="GF14">
        <f ca="1">INDIRECT("'Data 13'!GF"&amp;IF('Plot Layout'!N10="",2,'Plot Layout'!N10+1))</f>
        <v>0</v>
      </c>
      <c r="GG14">
        <f ca="1">INDIRECT("'Data 13'!GG"&amp;IF('Plot Layout'!N10="",2,'Plot Layout'!N10+1))</f>
        <v>0</v>
      </c>
      <c r="GH14">
        <f ca="1">INDIRECT("'Data 13'!GH"&amp;IF('Plot Layout'!N10="",2,'Plot Layout'!N10+1))</f>
        <v>0</v>
      </c>
      <c r="GI14">
        <f ca="1">INDIRECT("'Data 13'!GI"&amp;IF('Plot Layout'!N10="",2,'Plot Layout'!N10+1))</f>
        <v>0</v>
      </c>
      <c r="GJ14">
        <f ca="1">INDIRECT("'Data 13'!GJ"&amp;IF('Plot Layout'!N10="",2,'Plot Layout'!N10+1))</f>
        <v>0</v>
      </c>
      <c r="GK14">
        <f ca="1">INDIRECT("'Data 13'!GK"&amp;IF('Plot Layout'!N10="",2,'Plot Layout'!N10+1))</f>
        <v>0</v>
      </c>
      <c r="GL14">
        <f ca="1">INDIRECT("'Data 13'!GL"&amp;IF('Plot Layout'!N10="",2,'Plot Layout'!N10+1))</f>
        <v>0</v>
      </c>
      <c r="GM14">
        <f ca="1">INDIRECT("'Data 13'!GM"&amp;IF('Plot Layout'!N10="",2,'Plot Layout'!N10+1))</f>
        <v>0</v>
      </c>
      <c r="GN14">
        <f ca="1">INDIRECT("'Data 13'!GN"&amp;IF('Plot Layout'!N10="",2,'Plot Layout'!N10+1))</f>
        <v>0</v>
      </c>
      <c r="GO14">
        <f ca="1">INDIRECT("'Data 13'!GO"&amp;IF('Plot Layout'!N10="",2,'Plot Layout'!N10+1))</f>
        <v>0</v>
      </c>
      <c r="GP14">
        <f ca="1">INDIRECT("'Data 13'!GP"&amp;IF('Plot Layout'!N10="",2,'Plot Layout'!N10+1))</f>
        <v>0</v>
      </c>
      <c r="GQ14">
        <f ca="1">INDIRECT("'Data 13'!GQ"&amp;IF('Plot Layout'!N10="",2,'Plot Layout'!N10+1))</f>
        <v>0</v>
      </c>
      <c r="GR14">
        <f ca="1">INDIRECT("'Data 13'!GR"&amp;IF('Plot Layout'!N10="",2,'Plot Layout'!N10+1))</f>
        <v>0</v>
      </c>
      <c r="GS14">
        <f ca="1">INDIRECT("'Data 13'!GS"&amp;IF('Plot Layout'!N10="",2,'Plot Layout'!N10+1))</f>
        <v>0</v>
      </c>
      <c r="GT14">
        <f ca="1">INDIRECT("'Data 13'!GT"&amp;IF('Plot Layout'!N10="",2,'Plot Layout'!N10+1))</f>
        <v>0</v>
      </c>
      <c r="GU14">
        <f ca="1">INDIRECT("'Data 13'!GU"&amp;IF('Plot Layout'!N10="",2,'Plot Layout'!N10+1))</f>
        <v>0</v>
      </c>
      <c r="GV14">
        <f ca="1">INDIRECT("'Data 13'!GV"&amp;IF('Plot Layout'!N10="",2,'Plot Layout'!N10+1))</f>
        <v>0</v>
      </c>
      <c r="GW14">
        <f ca="1">INDIRECT("'Data 13'!GW"&amp;IF('Plot Layout'!N10="",2,'Plot Layout'!N10+1))</f>
        <v>0</v>
      </c>
      <c r="GX14">
        <f ca="1">INDIRECT("'Data 13'!GX"&amp;IF('Plot Layout'!N10="",2,'Plot Layout'!N10+1))</f>
        <v>0</v>
      </c>
      <c r="GY14">
        <f ca="1">INDIRECT("'Data 13'!GY"&amp;IF('Plot Layout'!N10="",2,'Plot Layout'!N10+1))</f>
        <v>0</v>
      </c>
      <c r="GZ14">
        <f ca="1">INDIRECT("'Data 13'!GZ"&amp;IF('Plot Layout'!N10="",2,'Plot Layout'!N10+1))</f>
        <v>0</v>
      </c>
      <c r="HA14">
        <f ca="1">INDIRECT("'Data 13'!HA"&amp;IF('Plot Layout'!N10="",2,'Plot Layout'!N10+1))</f>
        <v>0</v>
      </c>
      <c r="HB14">
        <f ca="1">INDIRECT("'Data 13'!HB"&amp;IF('Plot Layout'!N10="",2,'Plot Layout'!N10+1))</f>
        <v>0</v>
      </c>
      <c r="HC14">
        <f ca="1">INDIRECT("'Data 13'!HC"&amp;IF('Plot Layout'!N10="",2,'Plot Layout'!N10+1))</f>
        <v>0</v>
      </c>
      <c r="HD14">
        <f ca="1">INDIRECT("'Data 13'!HD"&amp;IF('Plot Layout'!N10="",2,'Plot Layout'!N10+1))</f>
        <v>0</v>
      </c>
      <c r="HE14">
        <f ca="1">INDIRECT("'Data 13'!HE"&amp;IF('Plot Layout'!N10="",2,'Plot Layout'!N10+1))</f>
        <v>0</v>
      </c>
      <c r="HF14">
        <f ca="1">INDIRECT("'Data 13'!HF"&amp;IF('Plot Layout'!N10="",2,'Plot Layout'!N10+1))</f>
        <v>0</v>
      </c>
      <c r="HG14">
        <f ca="1">INDIRECT("'Data 13'!HG"&amp;IF('Plot Layout'!N10="",2,'Plot Layout'!N10+1))</f>
        <v>0</v>
      </c>
      <c r="HH14">
        <f ca="1">INDIRECT("'Data 13'!HH"&amp;IF('Plot Layout'!N10="",2,'Plot Layout'!N10+1))</f>
        <v>0</v>
      </c>
      <c r="HI14">
        <f ca="1">INDIRECT("'Data 13'!HI"&amp;IF('Plot Layout'!N10="",2,'Plot Layout'!N10+1))</f>
        <v>0</v>
      </c>
      <c r="HJ14">
        <f ca="1">INDIRECT("'Data 13'!HJ"&amp;IF('Plot Layout'!N10="",2,'Plot Layout'!N10+1))</f>
        <v>0</v>
      </c>
      <c r="HK14">
        <f ca="1">INDIRECT("'Data 13'!HK"&amp;IF('Plot Layout'!N10="",2,'Plot Layout'!N10+1))</f>
        <v>0</v>
      </c>
      <c r="HL14">
        <f ca="1">INDIRECT("'Data 13'!HL"&amp;IF('Plot Layout'!N10="",2,'Plot Layout'!N10+1))</f>
        <v>0</v>
      </c>
      <c r="HM14">
        <f ca="1">INDIRECT("'Data 13'!HM"&amp;IF('Plot Layout'!N10="",2,'Plot Layout'!N10+1))</f>
        <v>0</v>
      </c>
      <c r="HN14">
        <f ca="1">INDIRECT("'Data 13'!HN"&amp;IF('Plot Layout'!N10="",2,'Plot Layout'!N10+1))</f>
        <v>0</v>
      </c>
      <c r="HO14">
        <f ca="1">INDIRECT("'Data 13'!HO"&amp;IF('Plot Layout'!N10="",2,'Plot Layout'!N10+1))</f>
        <v>0</v>
      </c>
      <c r="HP14">
        <f ca="1">INDIRECT("'Data 13'!HP"&amp;IF('Plot Layout'!N10="",2,'Plot Layout'!N10+1))</f>
        <v>0</v>
      </c>
      <c r="HQ14">
        <f ca="1">INDIRECT("'Data 13'!HQ"&amp;IF('Plot Layout'!N10="",2,'Plot Layout'!N10+1))</f>
        <v>0</v>
      </c>
      <c r="HR14">
        <f ca="1">INDIRECT("'Data 13'!HR"&amp;IF('Plot Layout'!N10="",2,'Plot Layout'!N10+1))</f>
        <v>0</v>
      </c>
      <c r="HS14">
        <f ca="1">INDIRECT("'Data 13'!HS"&amp;IF('Plot Layout'!N10="",2,'Plot Layout'!N10+1))</f>
        <v>0</v>
      </c>
      <c r="HT14">
        <f ca="1">INDIRECT("'Data 13'!HT"&amp;IF('Plot Layout'!N10="",2,'Plot Layout'!N10+1))</f>
        <v>0</v>
      </c>
      <c r="HU14">
        <f ca="1">INDIRECT("'Data 13'!HU"&amp;IF('Plot Layout'!N10="",2,'Plot Layout'!N10+1))</f>
        <v>0</v>
      </c>
      <c r="HV14">
        <f ca="1">INDIRECT("'Data 13'!HV"&amp;IF('Plot Layout'!N10="",2,'Plot Layout'!N10+1))</f>
        <v>0</v>
      </c>
      <c r="HW14">
        <f ca="1">INDIRECT("'Data 13'!HW"&amp;IF('Plot Layout'!N10="",2,'Plot Layout'!N10+1))</f>
        <v>0</v>
      </c>
      <c r="HX14">
        <f ca="1">INDIRECT("'Data 13'!HX"&amp;IF('Plot Layout'!N10="",2,'Plot Layout'!N10+1))</f>
        <v>0</v>
      </c>
      <c r="HY14">
        <f ca="1">INDIRECT("'Data 13'!HY"&amp;IF('Plot Layout'!N10="",2,'Plot Layout'!N10+1))</f>
        <v>0</v>
      </c>
      <c r="HZ14">
        <f ca="1">INDIRECT("'Data 13'!HZ"&amp;IF('Plot Layout'!N10="",2,'Plot Layout'!N10+1))</f>
        <v>0</v>
      </c>
      <c r="IA14">
        <f ca="1">INDIRECT("'Data 13'!IA"&amp;IF('Plot Layout'!N10="",2,'Plot Layout'!N10+1))</f>
        <v>0</v>
      </c>
      <c r="IB14">
        <f ca="1">INDIRECT("'Data 13'!IB"&amp;IF('Plot Layout'!N10="",2,'Plot Layout'!N10+1))</f>
        <v>0</v>
      </c>
      <c r="IC14">
        <f ca="1">INDIRECT("'Data 13'!IC"&amp;IF('Plot Layout'!N10="",2,'Plot Layout'!N10+1))</f>
        <v>0</v>
      </c>
      <c r="ID14">
        <f ca="1">INDIRECT("'Data 13'!ID"&amp;IF('Plot Layout'!N10="",2,'Plot Layout'!N10+1))</f>
        <v>0</v>
      </c>
      <c r="IE14">
        <f ca="1">INDIRECT("'Data 13'!IE"&amp;IF('Plot Layout'!N10="",2,'Plot Layout'!N10+1))</f>
        <v>0</v>
      </c>
      <c r="IF14">
        <f ca="1">INDIRECT("'Data 13'!IF"&amp;IF('Plot Layout'!N10="",2,'Plot Layout'!N10+1))</f>
        <v>0</v>
      </c>
      <c r="IG14">
        <f ca="1">INDIRECT("'Data 13'!IG"&amp;IF('Plot Layout'!N10="",2,'Plot Layout'!N10+1))</f>
        <v>0</v>
      </c>
      <c r="IH14">
        <f ca="1">INDIRECT("'Data 13'!IH"&amp;IF('Plot Layout'!N10="",2,'Plot Layout'!N10+1))</f>
        <v>0</v>
      </c>
      <c r="II14">
        <f ca="1">INDIRECT("'Data 13'!II"&amp;IF('Plot Layout'!N10="",2,'Plot Layout'!N10+1))</f>
        <v>0</v>
      </c>
      <c r="IJ14">
        <f ca="1">INDIRECT("'Data 13'!IJ"&amp;IF('Plot Layout'!N10="",2,'Plot Layout'!N10+1))</f>
        <v>0</v>
      </c>
      <c r="IK14">
        <f ca="1">INDIRECT("'Data 13'!IK"&amp;IF('Plot Layout'!N10="",2,'Plot Layout'!N10+1))</f>
        <v>0</v>
      </c>
      <c r="IL14">
        <f ca="1">INDIRECT("'Data 13'!IL"&amp;IF('Plot Layout'!N10="",2,'Plot Layout'!N10+1))</f>
        <v>0</v>
      </c>
      <c r="IM14">
        <f ca="1">INDIRECT("'Data 13'!IM"&amp;IF('Plot Layout'!N10="",2,'Plot Layout'!N10+1))</f>
        <v>0</v>
      </c>
      <c r="IN14">
        <f ca="1">INDIRECT("'Data 13'!IN"&amp;IF('Plot Layout'!N10="",2,'Plot Layout'!N10+1))</f>
        <v>0</v>
      </c>
      <c r="IO14">
        <f ca="1">INDIRECT("'Data 13'!IO"&amp;IF('Plot Layout'!N10="",2,'Plot Layout'!N10+1))</f>
        <v>0</v>
      </c>
      <c r="IP14">
        <f ca="1">INDIRECT("'Data 13'!IP"&amp;IF('Plot Layout'!N10="",2,'Plot Layout'!N10+1))</f>
        <v>0</v>
      </c>
      <c r="IQ14">
        <f ca="1">INDIRECT("'Data 13'!IQ"&amp;IF('Plot Layout'!N10="",2,'Plot Layout'!N10+1))</f>
        <v>0</v>
      </c>
      <c r="IR14">
        <f ca="1">INDIRECT("'Data 13'!IR"&amp;IF('Plot Layout'!N10="",2,'Plot Layout'!N10+1))</f>
        <v>0</v>
      </c>
      <c r="IS14">
        <f ca="1">INDIRECT("'Data 13'!IS"&amp;IF('Plot Layout'!N10="",2,'Plot Layout'!N10+1))</f>
        <v>0</v>
      </c>
      <c r="IT14">
        <f ca="1">INDIRECT("'Data 13'!IT"&amp;IF('Plot Layout'!N10="",2,'Plot Layout'!N10+1))</f>
        <v>0</v>
      </c>
      <c r="IU14">
        <f ca="1">INDIRECT("'Data 13'!IU"&amp;IF('Plot Layout'!N10="",2,'Plot Layout'!N10+1))</f>
        <v>0</v>
      </c>
      <c r="IV14">
        <f ca="1">INDIRECT("'Data 13'!IV"&amp;IF('Plot Layout'!N10="",2,'Plot Layout'!N10+1))</f>
        <v>0</v>
      </c>
    </row>
    <row r="15" spans="1:256">
      <c r="A15">
        <f ca="1">INDIRECT("'Data 14'!A"&amp;IF('Plot Layout'!O10="",2,'Plot Layout'!O10+1))</f>
        <v>70</v>
      </c>
      <c r="B15">
        <f ca="1">INDIRECT("'Data 14'!B"&amp;IF('Plot Layout'!O10="",2,'Plot Layout'!O10+1))</f>
        <v>1.5</v>
      </c>
      <c r="C15" t="str">
        <f ca="1">INDIRECT("'Data 14'!C"&amp;IF('Plot Layout'!O10="",2,'Plot Layout'!O10+1))</f>
        <v>65-406 1% TER</v>
      </c>
      <c r="D15">
        <f ca="1">INDIRECT("'Data 14'!D"&amp;IF('Plot Layout'!O10="",2,'Plot Layout'!O10+1))</f>
        <v>2.3999999999999998E-3</v>
      </c>
      <c r="E15">
        <f ca="1">INDIRECT("'Data 14'!E"&amp;IF('Plot Layout'!O10="",2,'Plot Layout'!O10+1))</f>
        <v>0.01</v>
      </c>
      <c r="F15">
        <f ca="1">INDIRECT("'Data 14'!F"&amp;IF('Plot Layout'!O10="",2,'Plot Layout'!O10+1))</f>
        <v>0.06</v>
      </c>
      <c r="G15">
        <f ca="1">INDIRECT("'Data 14'!G"&amp;IF('Plot Layout'!O10="",2,'Plot Layout'!O10+1))</f>
        <v>4</v>
      </c>
      <c r="H15">
        <f ca="1">INDIRECT("'Data 14'!H"&amp;IF('Plot Layout'!O10="",2,'Plot Layout'!O10+1))</f>
        <v>0</v>
      </c>
      <c r="I15">
        <f ca="1">INDIRECT("'Data 14'!I"&amp;IF('Plot Layout'!O10="",2,'Plot Layout'!O10+1))</f>
        <v>4.5999999999999996</v>
      </c>
      <c r="J15">
        <f ca="1">INDIRECT("'Data 14'!J"&amp;IF('Plot Layout'!O10="",2,'Plot Layout'!O10+1))</f>
        <v>9.5</v>
      </c>
      <c r="K15">
        <f ca="1">INDIRECT("'Data 14'!K"&amp;IF('Plot Layout'!O10="",2,'Plot Layout'!O10+1))</f>
        <v>13.4</v>
      </c>
      <c r="L15">
        <f ca="1">INDIRECT("'Data 14'!L"&amp;IF('Plot Layout'!O10="",2,'Plot Layout'!O10+1))</f>
        <v>5.3</v>
      </c>
      <c r="M15">
        <f ca="1">INDIRECT("'Data 14'!M"&amp;IF('Plot Layout'!O10="",2,'Plot Layout'!O10+1))</f>
        <v>0.32300000000000001</v>
      </c>
      <c r="N15">
        <f ca="1">INDIRECT("'Data 14'!N"&amp;IF('Plot Layout'!O10="",2,'Plot Layout'!O10+1))</f>
        <v>1.145</v>
      </c>
      <c r="O15">
        <f ca="1">INDIRECT("'Data 14'!O"&amp;IF('Plot Layout'!O10="",2,'Plot Layout'!O10+1))</f>
        <v>3.5</v>
      </c>
      <c r="P15">
        <f ca="1">INDIRECT("'Data 14'!P"&amp;IF('Plot Layout'!O10="",2,'Plot Layout'!O10+1))</f>
        <v>5</v>
      </c>
      <c r="Q15">
        <f ca="1">INDIRECT("'Data 14'!Q"&amp;IF('Plot Layout'!O10="",2,'Plot Layout'!O10+1))</f>
        <v>8.9999999999999993E-3</v>
      </c>
      <c r="R15">
        <f ca="1">INDIRECT("'Data 14'!R"&amp;IF('Plot Layout'!O10="",2,'Plot Layout'!O10+1))</f>
        <v>0</v>
      </c>
      <c r="S15">
        <f ca="1">INDIRECT("'Data 14'!S"&amp;IF('Plot Layout'!O10="",2,'Plot Layout'!O10+1))</f>
        <v>0</v>
      </c>
      <c r="T15">
        <f ca="1">INDIRECT("'Data 14'!T"&amp;IF('Plot Layout'!O10="",2,'Plot Layout'!O10+1))</f>
        <v>0</v>
      </c>
      <c r="U15">
        <f ca="1">INDIRECT("'Data 14'!U"&amp;IF('Plot Layout'!O10="",2,'Plot Layout'!O10+1))</f>
        <v>0</v>
      </c>
      <c r="V15">
        <f ca="1">INDIRECT("'Data 14'!V"&amp;IF('Plot Layout'!O10="",2,'Plot Layout'!O10+1))</f>
        <v>0</v>
      </c>
      <c r="W15">
        <f ca="1">INDIRECT("'Data 14'!W"&amp;IF('Plot Layout'!O10="",2,'Plot Layout'!O10+1))</f>
        <v>0</v>
      </c>
      <c r="X15">
        <f ca="1">INDIRECT("'Data 14'!X"&amp;IF('Plot Layout'!O10="",2,'Plot Layout'!O10+1))</f>
        <v>0</v>
      </c>
      <c r="Y15">
        <f ca="1">INDIRECT("'Data 14'!Y"&amp;IF('Plot Layout'!O10="",2,'Plot Layout'!O10+1))</f>
        <v>0</v>
      </c>
      <c r="Z15">
        <f ca="1">INDIRECT("'Data 14'!Z"&amp;IF('Plot Layout'!O10="",2,'Plot Layout'!O10+1))</f>
        <v>0</v>
      </c>
      <c r="AA15">
        <f ca="1">INDIRECT("'Data 14'!AA"&amp;IF('Plot Layout'!O10="",2,'Plot Layout'!O10+1))</f>
        <v>0</v>
      </c>
      <c r="AB15">
        <f ca="1">INDIRECT("'Data 14'!AB"&amp;IF('Plot Layout'!O10="",2,'Plot Layout'!O10+1))</f>
        <v>0</v>
      </c>
      <c r="AC15">
        <f ca="1">INDIRECT("'Data 14'!AC"&amp;IF('Plot Layout'!O10="",2,'Plot Layout'!O10+1))</f>
        <v>0</v>
      </c>
      <c r="AD15">
        <f ca="1">INDIRECT("'Data 14'!AD"&amp;IF('Plot Layout'!O10="",2,'Plot Layout'!O10+1))</f>
        <v>0</v>
      </c>
      <c r="AE15">
        <f ca="1">INDIRECT("'Data 14'!AE"&amp;IF('Plot Layout'!O10="",2,'Plot Layout'!O10+1))</f>
        <v>0</v>
      </c>
      <c r="AF15">
        <f ca="1">INDIRECT("'Data 14'!AF"&amp;IF('Plot Layout'!O10="",2,'Plot Layout'!O10+1))</f>
        <v>0</v>
      </c>
      <c r="AG15">
        <f ca="1">INDIRECT("'Data 14'!AG"&amp;IF('Plot Layout'!O10="",2,'Plot Layout'!O10+1))</f>
        <v>0</v>
      </c>
      <c r="AH15">
        <f ca="1">INDIRECT("'Data 14'!AH"&amp;IF('Plot Layout'!O10="",2,'Plot Layout'!O10+1))</f>
        <v>0</v>
      </c>
      <c r="AI15">
        <f ca="1">INDIRECT("'Data 14'!AI"&amp;IF('Plot Layout'!O10="",2,'Plot Layout'!O10+1))</f>
        <v>0</v>
      </c>
      <c r="AJ15">
        <f ca="1">INDIRECT("'Data 14'!AJ"&amp;IF('Plot Layout'!O10="",2,'Plot Layout'!O10+1))</f>
        <v>0</v>
      </c>
      <c r="AK15">
        <f ca="1">INDIRECT("'Data 14'!AK"&amp;IF('Plot Layout'!O10="",2,'Plot Layout'!O10+1))</f>
        <v>0</v>
      </c>
      <c r="AL15">
        <f ca="1">INDIRECT("'Data 14'!AL"&amp;IF('Plot Layout'!O10="",2,'Plot Layout'!O10+1))</f>
        <v>0</v>
      </c>
      <c r="AM15">
        <f ca="1">INDIRECT("'Data 14'!AM"&amp;IF('Plot Layout'!O10="",2,'Plot Layout'!O10+1))</f>
        <v>0</v>
      </c>
      <c r="AN15">
        <f ca="1">INDIRECT("'Data 14'!AN"&amp;IF('Plot Layout'!O10="",2,'Plot Layout'!O10+1))</f>
        <v>0</v>
      </c>
      <c r="AO15">
        <f ca="1">INDIRECT("'Data 14'!AO"&amp;IF('Plot Layout'!O10="",2,'Plot Layout'!O10+1))</f>
        <v>0</v>
      </c>
      <c r="AP15">
        <f ca="1">INDIRECT("'Data 14'!AP"&amp;IF('Plot Layout'!O10="",2,'Plot Layout'!O10+1))</f>
        <v>0</v>
      </c>
      <c r="AQ15">
        <f ca="1">INDIRECT("'Data 14'!AQ"&amp;IF('Plot Layout'!O10="",2,'Plot Layout'!O10+1))</f>
        <v>0</v>
      </c>
      <c r="AR15">
        <f ca="1">INDIRECT("'Data 14'!AR"&amp;IF('Plot Layout'!O10="",2,'Plot Layout'!O10+1))</f>
        <v>0</v>
      </c>
      <c r="AS15">
        <f ca="1">INDIRECT("'Data 14'!AS"&amp;IF('Plot Layout'!O10="",2,'Plot Layout'!O10+1))</f>
        <v>0</v>
      </c>
      <c r="AT15">
        <f ca="1">INDIRECT("'Data 14'!AT"&amp;IF('Plot Layout'!O10="",2,'Plot Layout'!O10+1))</f>
        <v>0</v>
      </c>
      <c r="AU15">
        <f ca="1">INDIRECT("'Data 14'!AU"&amp;IF('Plot Layout'!O10="",2,'Plot Layout'!O10+1))</f>
        <v>0</v>
      </c>
      <c r="AV15">
        <f ca="1">INDIRECT("'Data 14'!AV"&amp;IF('Plot Layout'!O10="",2,'Plot Layout'!O10+1))</f>
        <v>0</v>
      </c>
      <c r="AW15">
        <f ca="1">INDIRECT("'Data 14'!AW"&amp;IF('Plot Layout'!O10="",2,'Plot Layout'!O10+1))</f>
        <v>0</v>
      </c>
      <c r="AX15">
        <f ca="1">INDIRECT("'Data 14'!AX"&amp;IF('Plot Layout'!O10="",2,'Plot Layout'!O10+1))</f>
        <v>0</v>
      </c>
      <c r="AY15">
        <f ca="1">INDIRECT("'Data 14'!AY"&amp;IF('Plot Layout'!O10="",2,'Plot Layout'!O10+1))</f>
        <v>0</v>
      </c>
      <c r="AZ15">
        <f ca="1">INDIRECT("'Data 14'!AZ"&amp;IF('Plot Layout'!O10="",2,'Plot Layout'!O10+1))</f>
        <v>0</v>
      </c>
      <c r="BA15">
        <f ca="1">INDIRECT("'Data 14'!BA"&amp;IF('Plot Layout'!O10="",2,'Plot Layout'!O10+1))</f>
        <v>0</v>
      </c>
      <c r="BB15">
        <f ca="1">INDIRECT("'Data 14'!BB"&amp;IF('Plot Layout'!O10="",2,'Plot Layout'!O10+1))</f>
        <v>0</v>
      </c>
      <c r="BC15">
        <f ca="1">INDIRECT("'Data 14'!BC"&amp;IF('Plot Layout'!O10="",2,'Plot Layout'!O10+1))</f>
        <v>0</v>
      </c>
      <c r="BD15">
        <f ca="1">INDIRECT("'Data 14'!BD"&amp;IF('Plot Layout'!O10="",2,'Plot Layout'!O10+1))</f>
        <v>0</v>
      </c>
      <c r="BE15">
        <f ca="1">INDIRECT("'Data 14'!BE"&amp;IF('Plot Layout'!O10="",2,'Plot Layout'!O10+1))</f>
        <v>0</v>
      </c>
      <c r="BF15">
        <f ca="1">INDIRECT("'Data 14'!BF"&amp;IF('Plot Layout'!O10="",2,'Plot Layout'!O10+1))</f>
        <v>0</v>
      </c>
      <c r="BG15">
        <f ca="1">INDIRECT("'Data 14'!BG"&amp;IF('Plot Layout'!O10="",2,'Plot Layout'!O10+1))</f>
        <v>0</v>
      </c>
      <c r="BH15">
        <f ca="1">INDIRECT("'Data 14'!BH"&amp;IF('Plot Layout'!O10="",2,'Plot Layout'!O10+1))</f>
        <v>0</v>
      </c>
      <c r="BI15">
        <f ca="1">INDIRECT("'Data 14'!BI"&amp;IF('Plot Layout'!O10="",2,'Plot Layout'!O10+1))</f>
        <v>0</v>
      </c>
      <c r="BJ15">
        <f ca="1">INDIRECT("'Data 14'!BJ"&amp;IF('Plot Layout'!O10="",2,'Plot Layout'!O10+1))</f>
        <v>0</v>
      </c>
      <c r="BK15">
        <f ca="1">INDIRECT("'Data 14'!BK"&amp;IF('Plot Layout'!O10="",2,'Plot Layout'!O10+1))</f>
        <v>0</v>
      </c>
      <c r="BL15">
        <f ca="1">INDIRECT("'Data 14'!BL"&amp;IF('Plot Layout'!O10="",2,'Plot Layout'!O10+1))</f>
        <v>0</v>
      </c>
      <c r="BM15">
        <f ca="1">INDIRECT("'Data 14'!BM"&amp;IF('Plot Layout'!O10="",2,'Plot Layout'!O10+1))</f>
        <v>0</v>
      </c>
      <c r="BN15">
        <f ca="1">INDIRECT("'Data 14'!BN"&amp;IF('Plot Layout'!O10="",2,'Plot Layout'!O10+1))</f>
        <v>0</v>
      </c>
      <c r="BO15">
        <f ca="1">INDIRECT("'Data 14'!BO"&amp;IF('Plot Layout'!O10="",2,'Plot Layout'!O10+1))</f>
        <v>0</v>
      </c>
      <c r="BP15">
        <f ca="1">INDIRECT("'Data 14'!BP"&amp;IF('Plot Layout'!O10="",2,'Plot Layout'!O10+1))</f>
        <v>0</v>
      </c>
      <c r="BQ15">
        <f ca="1">INDIRECT("'Data 14'!BQ"&amp;IF('Plot Layout'!O10="",2,'Plot Layout'!O10+1))</f>
        <v>0</v>
      </c>
      <c r="BR15">
        <f ca="1">INDIRECT("'Data 14'!BR"&amp;IF('Plot Layout'!O10="",2,'Plot Layout'!O10+1))</f>
        <v>0</v>
      </c>
      <c r="BS15">
        <f ca="1">INDIRECT("'Data 14'!BS"&amp;IF('Plot Layout'!O10="",2,'Plot Layout'!O10+1))</f>
        <v>0</v>
      </c>
      <c r="BT15">
        <f ca="1">INDIRECT("'Data 14'!BT"&amp;IF('Plot Layout'!O10="",2,'Plot Layout'!O10+1))</f>
        <v>0</v>
      </c>
      <c r="BU15">
        <f ca="1">INDIRECT("'Data 14'!BU"&amp;IF('Plot Layout'!O10="",2,'Plot Layout'!O10+1))</f>
        <v>0</v>
      </c>
      <c r="BV15">
        <f ca="1">INDIRECT("'Data 14'!BV"&amp;IF('Plot Layout'!O10="",2,'Plot Layout'!O10+1))</f>
        <v>0</v>
      </c>
      <c r="BW15">
        <f ca="1">INDIRECT("'Data 14'!BW"&amp;IF('Plot Layout'!O10="",2,'Plot Layout'!O10+1))</f>
        <v>0</v>
      </c>
      <c r="BX15">
        <f ca="1">INDIRECT("'Data 14'!BX"&amp;IF('Plot Layout'!O10="",2,'Plot Layout'!O10+1))</f>
        <v>0</v>
      </c>
      <c r="BY15">
        <f ca="1">INDIRECT("'Data 14'!BY"&amp;IF('Plot Layout'!O10="",2,'Plot Layout'!O10+1))</f>
        <v>0</v>
      </c>
      <c r="BZ15">
        <f ca="1">INDIRECT("'Data 14'!BZ"&amp;IF('Plot Layout'!O10="",2,'Plot Layout'!O10+1))</f>
        <v>0</v>
      </c>
      <c r="CA15">
        <f ca="1">INDIRECT("'Data 14'!CA"&amp;IF('Plot Layout'!O10="",2,'Plot Layout'!O10+1))</f>
        <v>0</v>
      </c>
      <c r="CB15">
        <f ca="1">INDIRECT("'Data 14'!CB"&amp;IF('Plot Layout'!O10="",2,'Plot Layout'!O10+1))</f>
        <v>0</v>
      </c>
      <c r="CC15">
        <f ca="1">INDIRECT("'Data 14'!CC"&amp;IF('Plot Layout'!O10="",2,'Plot Layout'!O10+1))</f>
        <v>0</v>
      </c>
      <c r="CD15">
        <f ca="1">INDIRECT("'Data 14'!CD"&amp;IF('Plot Layout'!O10="",2,'Plot Layout'!O10+1))</f>
        <v>0</v>
      </c>
      <c r="CE15">
        <f ca="1">INDIRECT("'Data 14'!CE"&amp;IF('Plot Layout'!O10="",2,'Plot Layout'!O10+1))</f>
        <v>0</v>
      </c>
      <c r="CF15">
        <f ca="1">INDIRECT("'Data 14'!CF"&amp;IF('Plot Layout'!O10="",2,'Plot Layout'!O10+1))</f>
        <v>0</v>
      </c>
      <c r="CG15">
        <f ca="1">INDIRECT("'Data 14'!CG"&amp;IF('Plot Layout'!O10="",2,'Plot Layout'!O10+1))</f>
        <v>0</v>
      </c>
      <c r="CH15">
        <f ca="1">INDIRECT("'Data 14'!CH"&amp;IF('Plot Layout'!O10="",2,'Plot Layout'!O10+1))</f>
        <v>0</v>
      </c>
      <c r="CI15">
        <f ca="1">INDIRECT("'Data 14'!CI"&amp;IF('Plot Layout'!O10="",2,'Plot Layout'!O10+1))</f>
        <v>0</v>
      </c>
      <c r="CJ15">
        <f ca="1">INDIRECT("'Data 14'!CJ"&amp;IF('Plot Layout'!O10="",2,'Plot Layout'!O10+1))</f>
        <v>0</v>
      </c>
      <c r="CK15">
        <f ca="1">INDIRECT("'Data 14'!CK"&amp;IF('Plot Layout'!O10="",2,'Plot Layout'!O10+1))</f>
        <v>0</v>
      </c>
      <c r="CL15">
        <f ca="1">INDIRECT("'Data 14'!CL"&amp;IF('Plot Layout'!O10="",2,'Plot Layout'!O10+1))</f>
        <v>0</v>
      </c>
      <c r="CM15">
        <f ca="1">INDIRECT("'Data 14'!CM"&amp;IF('Plot Layout'!O10="",2,'Plot Layout'!O10+1))</f>
        <v>0</v>
      </c>
      <c r="CN15">
        <f ca="1">INDIRECT("'Data 14'!CN"&amp;IF('Plot Layout'!O10="",2,'Plot Layout'!O10+1))</f>
        <v>0</v>
      </c>
      <c r="CO15">
        <f ca="1">INDIRECT("'Data 14'!CO"&amp;IF('Plot Layout'!O10="",2,'Plot Layout'!O10+1))</f>
        <v>0</v>
      </c>
      <c r="CP15">
        <f ca="1">INDIRECT("'Data 14'!CP"&amp;IF('Plot Layout'!O10="",2,'Plot Layout'!O10+1))</f>
        <v>0</v>
      </c>
      <c r="CQ15">
        <f ca="1">INDIRECT("'Data 14'!CQ"&amp;IF('Plot Layout'!O10="",2,'Plot Layout'!O10+1))</f>
        <v>0</v>
      </c>
      <c r="CR15">
        <f ca="1">INDIRECT("'Data 14'!CR"&amp;IF('Plot Layout'!O10="",2,'Plot Layout'!O10+1))</f>
        <v>0</v>
      </c>
      <c r="CS15">
        <f ca="1">INDIRECT("'Data 14'!CS"&amp;IF('Plot Layout'!O10="",2,'Plot Layout'!O10+1))</f>
        <v>0</v>
      </c>
      <c r="CT15">
        <f ca="1">INDIRECT("'Data 14'!CT"&amp;IF('Plot Layout'!O10="",2,'Plot Layout'!O10+1))</f>
        <v>0</v>
      </c>
      <c r="CU15">
        <f ca="1">INDIRECT("'Data 14'!CU"&amp;IF('Plot Layout'!O10="",2,'Plot Layout'!O10+1))</f>
        <v>0</v>
      </c>
      <c r="CV15">
        <f ca="1">INDIRECT("'Data 14'!CV"&amp;IF('Plot Layout'!O10="",2,'Plot Layout'!O10+1))</f>
        <v>0</v>
      </c>
      <c r="CW15">
        <f ca="1">INDIRECT("'Data 14'!CW"&amp;IF('Plot Layout'!O10="",2,'Plot Layout'!O10+1))</f>
        <v>0</v>
      </c>
      <c r="CX15">
        <f ca="1">INDIRECT("'Data 14'!CX"&amp;IF('Plot Layout'!O10="",2,'Plot Layout'!O10+1))</f>
        <v>0</v>
      </c>
      <c r="CY15">
        <f ca="1">INDIRECT("'Data 14'!CY"&amp;IF('Plot Layout'!O10="",2,'Plot Layout'!O10+1))</f>
        <v>0</v>
      </c>
      <c r="CZ15">
        <f ca="1">INDIRECT("'Data 14'!CZ"&amp;IF('Plot Layout'!O10="",2,'Plot Layout'!O10+1))</f>
        <v>0</v>
      </c>
      <c r="DA15">
        <f ca="1">INDIRECT("'Data 14'!DA"&amp;IF('Plot Layout'!O10="",2,'Plot Layout'!O10+1))</f>
        <v>0</v>
      </c>
      <c r="DB15">
        <f ca="1">INDIRECT("'Data 14'!DB"&amp;IF('Plot Layout'!O10="",2,'Plot Layout'!O10+1))</f>
        <v>0</v>
      </c>
      <c r="DC15">
        <f ca="1">INDIRECT("'Data 14'!DC"&amp;IF('Plot Layout'!O10="",2,'Plot Layout'!O10+1))</f>
        <v>0</v>
      </c>
      <c r="DD15">
        <f ca="1">INDIRECT("'Data 14'!DD"&amp;IF('Plot Layout'!O10="",2,'Plot Layout'!O10+1))</f>
        <v>0</v>
      </c>
      <c r="DE15">
        <f ca="1">INDIRECT("'Data 14'!DE"&amp;IF('Plot Layout'!O10="",2,'Plot Layout'!O10+1))</f>
        <v>0</v>
      </c>
      <c r="DF15">
        <f ca="1">INDIRECT("'Data 14'!DF"&amp;IF('Plot Layout'!O10="",2,'Plot Layout'!O10+1))</f>
        <v>0</v>
      </c>
      <c r="DG15">
        <f ca="1">INDIRECT("'Data 14'!DG"&amp;IF('Plot Layout'!O10="",2,'Plot Layout'!O10+1))</f>
        <v>0</v>
      </c>
      <c r="DH15">
        <f ca="1">INDIRECT("'Data 14'!DH"&amp;IF('Plot Layout'!O10="",2,'Plot Layout'!O10+1))</f>
        <v>0</v>
      </c>
      <c r="DI15">
        <f ca="1">INDIRECT("'Data 14'!DI"&amp;IF('Plot Layout'!O10="",2,'Plot Layout'!O10+1))</f>
        <v>0</v>
      </c>
      <c r="DJ15">
        <f ca="1">INDIRECT("'Data 14'!DJ"&amp;IF('Plot Layout'!O10="",2,'Plot Layout'!O10+1))</f>
        <v>0</v>
      </c>
      <c r="DK15">
        <f ca="1">INDIRECT("'Data 14'!DK"&amp;IF('Plot Layout'!O10="",2,'Plot Layout'!O10+1))</f>
        <v>0</v>
      </c>
      <c r="DL15">
        <f ca="1">INDIRECT("'Data 14'!DL"&amp;IF('Plot Layout'!O10="",2,'Plot Layout'!O10+1))</f>
        <v>0</v>
      </c>
      <c r="DM15">
        <f ca="1">INDIRECT("'Data 14'!DM"&amp;IF('Plot Layout'!O10="",2,'Plot Layout'!O10+1))</f>
        <v>0</v>
      </c>
      <c r="DN15">
        <f ca="1">INDIRECT("'Data 14'!DN"&amp;IF('Plot Layout'!O10="",2,'Plot Layout'!O10+1))</f>
        <v>0</v>
      </c>
      <c r="DO15">
        <f ca="1">INDIRECT("'Data 14'!DO"&amp;IF('Plot Layout'!O10="",2,'Plot Layout'!O10+1))</f>
        <v>0</v>
      </c>
      <c r="DP15">
        <f ca="1">INDIRECT("'Data 14'!DP"&amp;IF('Plot Layout'!O10="",2,'Plot Layout'!O10+1))</f>
        <v>0</v>
      </c>
      <c r="DQ15">
        <f ca="1">INDIRECT("'Data 14'!DQ"&amp;IF('Plot Layout'!O10="",2,'Plot Layout'!O10+1))</f>
        <v>0</v>
      </c>
      <c r="DR15">
        <f ca="1">INDIRECT("'Data 14'!DR"&amp;IF('Plot Layout'!O10="",2,'Plot Layout'!O10+1))</f>
        <v>0</v>
      </c>
      <c r="DS15">
        <f ca="1">INDIRECT("'Data 14'!DS"&amp;IF('Plot Layout'!O10="",2,'Plot Layout'!O10+1))</f>
        <v>0</v>
      </c>
      <c r="DT15">
        <f ca="1">INDIRECT("'Data 14'!DT"&amp;IF('Plot Layout'!O10="",2,'Plot Layout'!O10+1))</f>
        <v>0</v>
      </c>
      <c r="DU15">
        <f ca="1">INDIRECT("'Data 14'!DU"&amp;IF('Plot Layout'!O10="",2,'Plot Layout'!O10+1))</f>
        <v>0</v>
      </c>
      <c r="DV15">
        <f ca="1">INDIRECT("'Data 14'!DV"&amp;IF('Plot Layout'!O10="",2,'Plot Layout'!O10+1))</f>
        <v>0</v>
      </c>
      <c r="DW15">
        <f ca="1">INDIRECT("'Data 14'!DW"&amp;IF('Plot Layout'!O10="",2,'Plot Layout'!O10+1))</f>
        <v>0</v>
      </c>
      <c r="DX15">
        <f ca="1">INDIRECT("'Data 14'!DX"&amp;IF('Plot Layout'!O10="",2,'Plot Layout'!O10+1))</f>
        <v>0</v>
      </c>
      <c r="DY15">
        <f ca="1">INDIRECT("'Data 14'!DY"&amp;IF('Plot Layout'!O10="",2,'Plot Layout'!O10+1))</f>
        <v>0</v>
      </c>
      <c r="DZ15">
        <f ca="1">INDIRECT("'Data 14'!DZ"&amp;IF('Plot Layout'!O10="",2,'Plot Layout'!O10+1))</f>
        <v>0</v>
      </c>
      <c r="EA15">
        <f ca="1">INDIRECT("'Data 14'!EA"&amp;IF('Plot Layout'!O10="",2,'Plot Layout'!O10+1))</f>
        <v>0</v>
      </c>
      <c r="EB15">
        <f ca="1">INDIRECT("'Data 14'!EB"&amp;IF('Plot Layout'!O10="",2,'Plot Layout'!O10+1))</f>
        <v>0</v>
      </c>
      <c r="EC15">
        <f ca="1">INDIRECT("'Data 14'!EC"&amp;IF('Plot Layout'!O10="",2,'Plot Layout'!O10+1))</f>
        <v>0</v>
      </c>
      <c r="ED15">
        <f ca="1">INDIRECT("'Data 14'!ED"&amp;IF('Plot Layout'!O10="",2,'Plot Layout'!O10+1))</f>
        <v>0</v>
      </c>
      <c r="EE15">
        <f ca="1">INDIRECT("'Data 14'!EE"&amp;IF('Plot Layout'!O10="",2,'Plot Layout'!O10+1))</f>
        <v>0</v>
      </c>
      <c r="EF15">
        <f ca="1">INDIRECT("'Data 14'!EF"&amp;IF('Plot Layout'!O10="",2,'Plot Layout'!O10+1))</f>
        <v>0</v>
      </c>
      <c r="EG15">
        <f ca="1">INDIRECT("'Data 14'!EG"&amp;IF('Plot Layout'!O10="",2,'Plot Layout'!O10+1))</f>
        <v>0</v>
      </c>
      <c r="EH15">
        <f ca="1">INDIRECT("'Data 14'!EH"&amp;IF('Plot Layout'!O10="",2,'Plot Layout'!O10+1))</f>
        <v>0</v>
      </c>
      <c r="EI15">
        <f ca="1">INDIRECT("'Data 14'!EI"&amp;IF('Plot Layout'!O10="",2,'Plot Layout'!O10+1))</f>
        <v>0</v>
      </c>
      <c r="EJ15">
        <f ca="1">INDIRECT("'Data 14'!EJ"&amp;IF('Plot Layout'!O10="",2,'Plot Layout'!O10+1))</f>
        <v>0</v>
      </c>
      <c r="EK15">
        <f ca="1">INDIRECT("'Data 14'!EK"&amp;IF('Plot Layout'!O10="",2,'Plot Layout'!O10+1))</f>
        <v>0</v>
      </c>
      <c r="EL15">
        <f ca="1">INDIRECT("'Data 14'!EL"&amp;IF('Plot Layout'!O10="",2,'Plot Layout'!O10+1))</f>
        <v>0</v>
      </c>
      <c r="EM15">
        <f ca="1">INDIRECT("'Data 14'!EM"&amp;IF('Plot Layout'!O10="",2,'Plot Layout'!O10+1))</f>
        <v>0</v>
      </c>
      <c r="EN15">
        <f ca="1">INDIRECT("'Data 14'!EN"&amp;IF('Plot Layout'!O10="",2,'Plot Layout'!O10+1))</f>
        <v>0</v>
      </c>
      <c r="EO15">
        <f ca="1">INDIRECT("'Data 14'!EO"&amp;IF('Plot Layout'!O10="",2,'Plot Layout'!O10+1))</f>
        <v>0</v>
      </c>
      <c r="EP15">
        <f ca="1">INDIRECT("'Data 14'!EP"&amp;IF('Plot Layout'!O10="",2,'Plot Layout'!O10+1))</f>
        <v>0</v>
      </c>
      <c r="EQ15">
        <f ca="1">INDIRECT("'Data 14'!EQ"&amp;IF('Plot Layout'!O10="",2,'Plot Layout'!O10+1))</f>
        <v>0</v>
      </c>
      <c r="ER15">
        <f ca="1">INDIRECT("'Data 14'!ER"&amp;IF('Plot Layout'!O10="",2,'Plot Layout'!O10+1))</f>
        <v>0</v>
      </c>
      <c r="ES15">
        <f ca="1">INDIRECT("'Data 14'!ES"&amp;IF('Plot Layout'!O10="",2,'Plot Layout'!O10+1))</f>
        <v>0</v>
      </c>
      <c r="ET15">
        <f ca="1">INDIRECT("'Data 14'!ET"&amp;IF('Plot Layout'!O10="",2,'Plot Layout'!O10+1))</f>
        <v>0</v>
      </c>
      <c r="EU15">
        <f ca="1">INDIRECT("'Data 14'!EU"&amp;IF('Plot Layout'!O10="",2,'Plot Layout'!O10+1))</f>
        <v>0</v>
      </c>
      <c r="EV15">
        <f ca="1">INDIRECT("'Data 14'!EV"&amp;IF('Plot Layout'!O10="",2,'Plot Layout'!O10+1))</f>
        <v>0</v>
      </c>
      <c r="EW15">
        <f ca="1">INDIRECT("'Data 14'!EW"&amp;IF('Plot Layout'!O10="",2,'Plot Layout'!O10+1))</f>
        <v>0</v>
      </c>
      <c r="EX15">
        <f ca="1">INDIRECT("'Data 14'!EX"&amp;IF('Plot Layout'!O10="",2,'Plot Layout'!O10+1))</f>
        <v>0</v>
      </c>
      <c r="EY15">
        <f ca="1">INDIRECT("'Data 14'!EY"&amp;IF('Plot Layout'!O10="",2,'Plot Layout'!O10+1))</f>
        <v>0</v>
      </c>
      <c r="EZ15">
        <f ca="1">INDIRECT("'Data 14'!EZ"&amp;IF('Plot Layout'!O10="",2,'Plot Layout'!O10+1))</f>
        <v>0</v>
      </c>
      <c r="FA15">
        <f ca="1">INDIRECT("'Data 14'!FA"&amp;IF('Plot Layout'!O10="",2,'Plot Layout'!O10+1))</f>
        <v>0</v>
      </c>
      <c r="FB15">
        <f ca="1">INDIRECT("'Data 14'!FB"&amp;IF('Plot Layout'!O10="",2,'Plot Layout'!O10+1))</f>
        <v>0</v>
      </c>
      <c r="FC15">
        <f ca="1">INDIRECT("'Data 14'!FC"&amp;IF('Plot Layout'!O10="",2,'Plot Layout'!O10+1))</f>
        <v>0</v>
      </c>
      <c r="FD15">
        <f ca="1">INDIRECT("'Data 14'!FD"&amp;IF('Plot Layout'!O10="",2,'Plot Layout'!O10+1))</f>
        <v>0</v>
      </c>
      <c r="FE15">
        <f ca="1">INDIRECT("'Data 14'!FE"&amp;IF('Plot Layout'!O10="",2,'Plot Layout'!O10+1))</f>
        <v>0</v>
      </c>
      <c r="FF15">
        <f ca="1">INDIRECT("'Data 14'!FF"&amp;IF('Plot Layout'!O10="",2,'Plot Layout'!O10+1))</f>
        <v>0</v>
      </c>
      <c r="FG15">
        <f ca="1">INDIRECT("'Data 14'!FG"&amp;IF('Plot Layout'!O10="",2,'Plot Layout'!O10+1))</f>
        <v>0</v>
      </c>
      <c r="FH15">
        <f ca="1">INDIRECT("'Data 14'!FH"&amp;IF('Plot Layout'!O10="",2,'Plot Layout'!O10+1))</f>
        <v>0</v>
      </c>
      <c r="FI15">
        <f ca="1">INDIRECT("'Data 14'!FI"&amp;IF('Plot Layout'!O10="",2,'Plot Layout'!O10+1))</f>
        <v>0</v>
      </c>
      <c r="FJ15">
        <f ca="1">INDIRECT("'Data 14'!FJ"&amp;IF('Plot Layout'!O10="",2,'Plot Layout'!O10+1))</f>
        <v>0</v>
      </c>
      <c r="FK15">
        <f ca="1">INDIRECT("'Data 14'!FK"&amp;IF('Plot Layout'!O10="",2,'Plot Layout'!O10+1))</f>
        <v>0</v>
      </c>
      <c r="FL15">
        <f ca="1">INDIRECT("'Data 14'!FL"&amp;IF('Plot Layout'!O10="",2,'Plot Layout'!O10+1))</f>
        <v>0</v>
      </c>
      <c r="FM15">
        <f ca="1">INDIRECT("'Data 14'!FM"&amp;IF('Plot Layout'!O10="",2,'Plot Layout'!O10+1))</f>
        <v>0</v>
      </c>
      <c r="FN15">
        <f ca="1">INDIRECT("'Data 14'!FN"&amp;IF('Plot Layout'!O10="",2,'Plot Layout'!O10+1))</f>
        <v>0</v>
      </c>
      <c r="FO15">
        <f ca="1">INDIRECT("'Data 14'!FO"&amp;IF('Plot Layout'!O10="",2,'Plot Layout'!O10+1))</f>
        <v>0</v>
      </c>
      <c r="FP15">
        <f ca="1">INDIRECT("'Data 14'!FP"&amp;IF('Plot Layout'!O10="",2,'Plot Layout'!O10+1))</f>
        <v>0</v>
      </c>
      <c r="FQ15">
        <f ca="1">INDIRECT("'Data 14'!FQ"&amp;IF('Plot Layout'!O10="",2,'Plot Layout'!O10+1))</f>
        <v>0</v>
      </c>
      <c r="FR15">
        <f ca="1">INDIRECT("'Data 14'!FR"&amp;IF('Plot Layout'!O10="",2,'Plot Layout'!O10+1))</f>
        <v>0</v>
      </c>
      <c r="FS15">
        <f ca="1">INDIRECT("'Data 14'!FS"&amp;IF('Plot Layout'!O10="",2,'Plot Layout'!O10+1))</f>
        <v>0</v>
      </c>
      <c r="FT15">
        <f ca="1">INDIRECT("'Data 14'!FT"&amp;IF('Plot Layout'!O10="",2,'Plot Layout'!O10+1))</f>
        <v>0</v>
      </c>
      <c r="FU15">
        <f ca="1">INDIRECT("'Data 14'!FU"&amp;IF('Plot Layout'!O10="",2,'Plot Layout'!O10+1))</f>
        <v>0</v>
      </c>
      <c r="FV15">
        <f ca="1">INDIRECT("'Data 14'!FV"&amp;IF('Plot Layout'!O10="",2,'Plot Layout'!O10+1))</f>
        <v>0</v>
      </c>
      <c r="FW15">
        <f ca="1">INDIRECT("'Data 14'!FW"&amp;IF('Plot Layout'!O10="",2,'Plot Layout'!O10+1))</f>
        <v>0</v>
      </c>
      <c r="FX15">
        <f ca="1">INDIRECT("'Data 14'!FX"&amp;IF('Plot Layout'!O10="",2,'Plot Layout'!O10+1))</f>
        <v>0</v>
      </c>
      <c r="FY15">
        <f ca="1">INDIRECT("'Data 14'!FY"&amp;IF('Plot Layout'!O10="",2,'Plot Layout'!O10+1))</f>
        <v>0</v>
      </c>
      <c r="FZ15">
        <f ca="1">INDIRECT("'Data 14'!FZ"&amp;IF('Plot Layout'!O10="",2,'Plot Layout'!O10+1))</f>
        <v>0</v>
      </c>
      <c r="GA15">
        <f ca="1">INDIRECT("'Data 14'!GA"&amp;IF('Plot Layout'!O10="",2,'Plot Layout'!O10+1))</f>
        <v>0</v>
      </c>
      <c r="GB15">
        <f ca="1">INDIRECT("'Data 14'!GB"&amp;IF('Plot Layout'!O10="",2,'Plot Layout'!O10+1))</f>
        <v>0</v>
      </c>
      <c r="GC15">
        <f ca="1">INDIRECT("'Data 14'!GC"&amp;IF('Plot Layout'!O10="",2,'Plot Layout'!O10+1))</f>
        <v>0</v>
      </c>
      <c r="GD15">
        <f ca="1">INDIRECT("'Data 14'!GD"&amp;IF('Plot Layout'!O10="",2,'Plot Layout'!O10+1))</f>
        <v>0</v>
      </c>
      <c r="GE15">
        <f ca="1">INDIRECT("'Data 14'!GE"&amp;IF('Plot Layout'!O10="",2,'Plot Layout'!O10+1))</f>
        <v>0</v>
      </c>
      <c r="GF15">
        <f ca="1">INDIRECT("'Data 14'!GF"&amp;IF('Plot Layout'!O10="",2,'Plot Layout'!O10+1))</f>
        <v>0</v>
      </c>
      <c r="GG15">
        <f ca="1">INDIRECT("'Data 14'!GG"&amp;IF('Plot Layout'!O10="",2,'Plot Layout'!O10+1))</f>
        <v>0</v>
      </c>
      <c r="GH15">
        <f ca="1">INDIRECT("'Data 14'!GH"&amp;IF('Plot Layout'!O10="",2,'Plot Layout'!O10+1))</f>
        <v>0</v>
      </c>
      <c r="GI15">
        <f ca="1">INDIRECT("'Data 14'!GI"&amp;IF('Plot Layout'!O10="",2,'Plot Layout'!O10+1))</f>
        <v>0</v>
      </c>
      <c r="GJ15">
        <f ca="1">INDIRECT("'Data 14'!GJ"&amp;IF('Plot Layout'!O10="",2,'Plot Layout'!O10+1))</f>
        <v>0</v>
      </c>
      <c r="GK15">
        <f ca="1">INDIRECT("'Data 14'!GK"&amp;IF('Plot Layout'!O10="",2,'Plot Layout'!O10+1))</f>
        <v>0</v>
      </c>
      <c r="GL15">
        <f ca="1">INDIRECT("'Data 14'!GL"&amp;IF('Plot Layout'!O10="",2,'Plot Layout'!O10+1))</f>
        <v>0</v>
      </c>
      <c r="GM15">
        <f ca="1">INDIRECT("'Data 14'!GM"&amp;IF('Plot Layout'!O10="",2,'Plot Layout'!O10+1))</f>
        <v>0</v>
      </c>
      <c r="GN15">
        <f ca="1">INDIRECT("'Data 14'!GN"&amp;IF('Plot Layout'!O10="",2,'Plot Layout'!O10+1))</f>
        <v>0</v>
      </c>
      <c r="GO15">
        <f ca="1">INDIRECT("'Data 14'!GO"&amp;IF('Plot Layout'!O10="",2,'Plot Layout'!O10+1))</f>
        <v>0</v>
      </c>
      <c r="GP15">
        <f ca="1">INDIRECT("'Data 14'!GP"&amp;IF('Plot Layout'!O10="",2,'Plot Layout'!O10+1))</f>
        <v>0</v>
      </c>
      <c r="GQ15">
        <f ca="1">INDIRECT("'Data 14'!GQ"&amp;IF('Plot Layout'!O10="",2,'Plot Layout'!O10+1))</f>
        <v>0</v>
      </c>
      <c r="GR15">
        <f ca="1">INDIRECT("'Data 14'!GR"&amp;IF('Plot Layout'!O10="",2,'Plot Layout'!O10+1))</f>
        <v>0</v>
      </c>
      <c r="GS15">
        <f ca="1">INDIRECT("'Data 14'!GS"&amp;IF('Plot Layout'!O10="",2,'Plot Layout'!O10+1))</f>
        <v>0</v>
      </c>
      <c r="GT15">
        <f ca="1">INDIRECT("'Data 14'!GT"&amp;IF('Plot Layout'!O10="",2,'Plot Layout'!O10+1))</f>
        <v>0</v>
      </c>
      <c r="GU15">
        <f ca="1">INDIRECT("'Data 14'!GU"&amp;IF('Plot Layout'!O10="",2,'Plot Layout'!O10+1))</f>
        <v>0</v>
      </c>
      <c r="GV15">
        <f ca="1">INDIRECT("'Data 14'!GV"&amp;IF('Plot Layout'!O10="",2,'Plot Layout'!O10+1))</f>
        <v>0</v>
      </c>
      <c r="GW15">
        <f ca="1">INDIRECT("'Data 14'!GW"&amp;IF('Plot Layout'!O10="",2,'Plot Layout'!O10+1))</f>
        <v>0</v>
      </c>
      <c r="GX15">
        <f ca="1">INDIRECT("'Data 14'!GX"&amp;IF('Plot Layout'!O10="",2,'Plot Layout'!O10+1))</f>
        <v>0</v>
      </c>
      <c r="GY15">
        <f ca="1">INDIRECT("'Data 14'!GY"&amp;IF('Plot Layout'!O10="",2,'Plot Layout'!O10+1))</f>
        <v>0</v>
      </c>
      <c r="GZ15">
        <f ca="1">INDIRECT("'Data 14'!GZ"&amp;IF('Plot Layout'!O10="",2,'Plot Layout'!O10+1))</f>
        <v>0</v>
      </c>
      <c r="HA15">
        <f ca="1">INDIRECT("'Data 14'!HA"&amp;IF('Plot Layout'!O10="",2,'Plot Layout'!O10+1))</f>
        <v>0</v>
      </c>
      <c r="HB15">
        <f ca="1">INDIRECT("'Data 14'!HB"&amp;IF('Plot Layout'!O10="",2,'Plot Layout'!O10+1))</f>
        <v>0</v>
      </c>
      <c r="HC15">
        <f ca="1">INDIRECT("'Data 14'!HC"&amp;IF('Plot Layout'!O10="",2,'Plot Layout'!O10+1))</f>
        <v>0</v>
      </c>
      <c r="HD15">
        <f ca="1">INDIRECT("'Data 14'!HD"&amp;IF('Plot Layout'!O10="",2,'Plot Layout'!O10+1))</f>
        <v>0</v>
      </c>
      <c r="HE15">
        <f ca="1">INDIRECT("'Data 14'!HE"&amp;IF('Plot Layout'!O10="",2,'Plot Layout'!O10+1))</f>
        <v>0</v>
      </c>
      <c r="HF15">
        <f ca="1">INDIRECT("'Data 14'!HF"&amp;IF('Plot Layout'!O10="",2,'Plot Layout'!O10+1))</f>
        <v>0</v>
      </c>
      <c r="HG15">
        <f ca="1">INDIRECT("'Data 14'!HG"&amp;IF('Plot Layout'!O10="",2,'Plot Layout'!O10+1))</f>
        <v>0</v>
      </c>
      <c r="HH15">
        <f ca="1">INDIRECT("'Data 14'!HH"&amp;IF('Plot Layout'!O10="",2,'Plot Layout'!O10+1))</f>
        <v>0</v>
      </c>
      <c r="HI15">
        <f ca="1">INDIRECT("'Data 14'!HI"&amp;IF('Plot Layout'!O10="",2,'Plot Layout'!O10+1))</f>
        <v>0</v>
      </c>
      <c r="HJ15">
        <f ca="1">INDIRECT("'Data 14'!HJ"&amp;IF('Plot Layout'!O10="",2,'Plot Layout'!O10+1))</f>
        <v>0</v>
      </c>
      <c r="HK15">
        <f ca="1">INDIRECT("'Data 14'!HK"&amp;IF('Plot Layout'!O10="",2,'Plot Layout'!O10+1))</f>
        <v>0</v>
      </c>
      <c r="HL15">
        <f ca="1">INDIRECT("'Data 14'!HL"&amp;IF('Plot Layout'!O10="",2,'Plot Layout'!O10+1))</f>
        <v>0</v>
      </c>
      <c r="HM15">
        <f ca="1">INDIRECT("'Data 14'!HM"&amp;IF('Plot Layout'!O10="",2,'Plot Layout'!O10+1))</f>
        <v>0</v>
      </c>
      <c r="HN15">
        <f ca="1">INDIRECT("'Data 14'!HN"&amp;IF('Plot Layout'!O10="",2,'Plot Layout'!O10+1))</f>
        <v>0</v>
      </c>
      <c r="HO15">
        <f ca="1">INDIRECT("'Data 14'!HO"&amp;IF('Plot Layout'!O10="",2,'Plot Layout'!O10+1))</f>
        <v>0</v>
      </c>
      <c r="HP15">
        <f ca="1">INDIRECT("'Data 14'!HP"&amp;IF('Plot Layout'!O10="",2,'Plot Layout'!O10+1))</f>
        <v>0</v>
      </c>
      <c r="HQ15">
        <f ca="1">INDIRECT("'Data 14'!HQ"&amp;IF('Plot Layout'!O10="",2,'Plot Layout'!O10+1))</f>
        <v>0</v>
      </c>
      <c r="HR15">
        <f ca="1">INDIRECT("'Data 14'!HR"&amp;IF('Plot Layout'!O10="",2,'Plot Layout'!O10+1))</f>
        <v>0</v>
      </c>
      <c r="HS15">
        <f ca="1">INDIRECT("'Data 14'!HS"&amp;IF('Plot Layout'!O10="",2,'Plot Layout'!O10+1))</f>
        <v>0</v>
      </c>
      <c r="HT15">
        <f ca="1">INDIRECT("'Data 14'!HT"&amp;IF('Plot Layout'!O10="",2,'Plot Layout'!O10+1))</f>
        <v>0</v>
      </c>
      <c r="HU15">
        <f ca="1">INDIRECT("'Data 14'!HU"&amp;IF('Plot Layout'!O10="",2,'Plot Layout'!O10+1))</f>
        <v>0</v>
      </c>
      <c r="HV15">
        <f ca="1">INDIRECT("'Data 14'!HV"&amp;IF('Plot Layout'!O10="",2,'Plot Layout'!O10+1))</f>
        <v>0</v>
      </c>
      <c r="HW15">
        <f ca="1">INDIRECT("'Data 14'!HW"&amp;IF('Plot Layout'!O10="",2,'Plot Layout'!O10+1))</f>
        <v>0</v>
      </c>
      <c r="HX15">
        <f ca="1">INDIRECT("'Data 14'!HX"&amp;IF('Plot Layout'!O10="",2,'Plot Layout'!O10+1))</f>
        <v>0</v>
      </c>
      <c r="HY15">
        <f ca="1">INDIRECT("'Data 14'!HY"&amp;IF('Plot Layout'!O10="",2,'Plot Layout'!O10+1))</f>
        <v>0</v>
      </c>
      <c r="HZ15">
        <f ca="1">INDIRECT("'Data 14'!HZ"&amp;IF('Plot Layout'!O10="",2,'Plot Layout'!O10+1))</f>
        <v>0</v>
      </c>
      <c r="IA15">
        <f ca="1">INDIRECT("'Data 14'!IA"&amp;IF('Plot Layout'!O10="",2,'Plot Layout'!O10+1))</f>
        <v>0</v>
      </c>
      <c r="IB15">
        <f ca="1">INDIRECT("'Data 14'!IB"&amp;IF('Plot Layout'!O10="",2,'Plot Layout'!O10+1))</f>
        <v>0</v>
      </c>
      <c r="IC15">
        <f ca="1">INDIRECT("'Data 14'!IC"&amp;IF('Plot Layout'!O10="",2,'Plot Layout'!O10+1))</f>
        <v>0</v>
      </c>
      <c r="ID15">
        <f ca="1">INDIRECT("'Data 14'!ID"&amp;IF('Plot Layout'!O10="",2,'Plot Layout'!O10+1))</f>
        <v>0</v>
      </c>
      <c r="IE15">
        <f ca="1">INDIRECT("'Data 14'!IE"&amp;IF('Plot Layout'!O10="",2,'Plot Layout'!O10+1))</f>
        <v>0</v>
      </c>
      <c r="IF15">
        <f ca="1">INDIRECT("'Data 14'!IF"&amp;IF('Plot Layout'!O10="",2,'Plot Layout'!O10+1))</f>
        <v>0</v>
      </c>
      <c r="IG15">
        <f ca="1">INDIRECT("'Data 14'!IG"&amp;IF('Plot Layout'!O10="",2,'Plot Layout'!O10+1))</f>
        <v>0</v>
      </c>
      <c r="IH15">
        <f ca="1">INDIRECT("'Data 14'!IH"&amp;IF('Plot Layout'!O10="",2,'Plot Layout'!O10+1))</f>
        <v>0</v>
      </c>
      <c r="II15">
        <f ca="1">INDIRECT("'Data 14'!II"&amp;IF('Plot Layout'!O10="",2,'Plot Layout'!O10+1))</f>
        <v>0</v>
      </c>
      <c r="IJ15">
        <f ca="1">INDIRECT("'Data 14'!IJ"&amp;IF('Plot Layout'!O10="",2,'Plot Layout'!O10+1))</f>
        <v>0</v>
      </c>
      <c r="IK15">
        <f ca="1">INDIRECT("'Data 14'!IK"&amp;IF('Plot Layout'!O10="",2,'Plot Layout'!O10+1))</f>
        <v>0</v>
      </c>
      <c r="IL15">
        <f ca="1">INDIRECT("'Data 14'!IL"&amp;IF('Plot Layout'!O10="",2,'Plot Layout'!O10+1))</f>
        <v>0</v>
      </c>
      <c r="IM15">
        <f ca="1">INDIRECT("'Data 14'!IM"&amp;IF('Plot Layout'!O10="",2,'Plot Layout'!O10+1))</f>
        <v>0</v>
      </c>
      <c r="IN15">
        <f ca="1">INDIRECT("'Data 14'!IN"&amp;IF('Plot Layout'!O10="",2,'Plot Layout'!O10+1))</f>
        <v>0</v>
      </c>
      <c r="IO15">
        <f ca="1">INDIRECT("'Data 14'!IO"&amp;IF('Plot Layout'!O10="",2,'Plot Layout'!O10+1))</f>
        <v>0</v>
      </c>
      <c r="IP15">
        <f ca="1">INDIRECT("'Data 14'!IP"&amp;IF('Plot Layout'!O10="",2,'Plot Layout'!O10+1))</f>
        <v>0</v>
      </c>
      <c r="IQ15">
        <f ca="1">INDIRECT("'Data 14'!IQ"&amp;IF('Plot Layout'!O10="",2,'Plot Layout'!O10+1))</f>
        <v>0</v>
      </c>
      <c r="IR15">
        <f ca="1">INDIRECT("'Data 14'!IR"&amp;IF('Plot Layout'!O10="",2,'Plot Layout'!O10+1))</f>
        <v>0</v>
      </c>
      <c r="IS15">
        <f ca="1">INDIRECT("'Data 14'!IS"&amp;IF('Plot Layout'!O10="",2,'Plot Layout'!O10+1))</f>
        <v>0</v>
      </c>
      <c r="IT15">
        <f ca="1">INDIRECT("'Data 14'!IT"&amp;IF('Plot Layout'!O10="",2,'Plot Layout'!O10+1))</f>
        <v>0</v>
      </c>
      <c r="IU15">
        <f ca="1">INDIRECT("'Data 14'!IU"&amp;IF('Plot Layout'!O10="",2,'Plot Layout'!O10+1))</f>
        <v>0</v>
      </c>
      <c r="IV15">
        <f ca="1">INDIRECT("'Data 14'!IV"&amp;IF('Plot Layout'!O10="",2,'Plot Layout'!O10+1))</f>
        <v>0</v>
      </c>
    </row>
    <row r="16" spans="1:256">
      <c r="A16">
        <f ca="1">INDIRECT("'Data 15'!A"&amp;IF('Plot Layout'!P10="",2,'Plot Layout'!P10+1))</f>
        <v>70</v>
      </c>
      <c r="B16">
        <f ca="1">INDIRECT("'Data 15'!B"&amp;IF('Plot Layout'!P10="",2,'Plot Layout'!P10+1))</f>
        <v>2</v>
      </c>
      <c r="C16" t="str">
        <f ca="1">INDIRECT("'Data 15'!C"&amp;IF('Plot Layout'!P10="",2,'Plot Layout'!P10+1))</f>
        <v>65-406 1% TER</v>
      </c>
      <c r="D16">
        <f ca="1">INDIRECT("'Data 15'!D"&amp;IF('Plot Layout'!P10="",2,'Plot Layout'!P10+1))</f>
        <v>2.3999999999999998E-3</v>
      </c>
      <c r="E16">
        <f ca="1">INDIRECT("'Data 15'!E"&amp;IF('Plot Layout'!P10="",2,'Plot Layout'!P10+1))</f>
        <v>0.01</v>
      </c>
      <c r="F16">
        <f ca="1">INDIRECT("'Data 15'!F"&amp;IF('Plot Layout'!P10="",2,'Plot Layout'!P10+1))</f>
        <v>0.06</v>
      </c>
      <c r="G16">
        <f ca="1">INDIRECT("'Data 15'!G"&amp;IF('Plot Layout'!P10="",2,'Plot Layout'!P10+1))</f>
        <v>4</v>
      </c>
      <c r="H16">
        <f ca="1">INDIRECT("'Data 15'!H"&amp;IF('Plot Layout'!P10="",2,'Plot Layout'!P10+1))</f>
        <v>0</v>
      </c>
      <c r="I16">
        <f ca="1">INDIRECT("'Data 15'!I"&amp;IF('Plot Layout'!P10="",2,'Plot Layout'!P10+1))</f>
        <v>4.5999999999999996</v>
      </c>
      <c r="J16">
        <f ca="1">INDIRECT("'Data 15'!J"&amp;IF('Plot Layout'!P10="",2,'Plot Layout'!P10+1))</f>
        <v>9.5</v>
      </c>
      <c r="K16">
        <f ca="1">INDIRECT("'Data 15'!K"&amp;IF('Plot Layout'!P10="",2,'Plot Layout'!P10+1))</f>
        <v>13.4</v>
      </c>
      <c r="L16">
        <f ca="1">INDIRECT("'Data 15'!L"&amp;IF('Plot Layout'!P10="",2,'Plot Layout'!P10+1))</f>
        <v>5.3</v>
      </c>
      <c r="M16">
        <f ca="1">INDIRECT("'Data 15'!M"&amp;IF('Plot Layout'!P10="",2,'Plot Layout'!P10+1))</f>
        <v>0.26</v>
      </c>
      <c r="N16">
        <f ca="1">INDIRECT("'Data 15'!N"&amp;IF('Plot Layout'!P10="",2,'Plot Layout'!P10+1))</f>
        <v>1.319</v>
      </c>
      <c r="O16">
        <f ca="1">INDIRECT("'Data 15'!O"&amp;IF('Plot Layout'!P10="",2,'Plot Layout'!P10+1))</f>
        <v>2</v>
      </c>
      <c r="P16">
        <f ca="1">INDIRECT("'Data 15'!P"&amp;IF('Plot Layout'!P10="",2,'Plot Layout'!P10+1))</f>
        <v>2</v>
      </c>
      <c r="Q16">
        <f ca="1">INDIRECT("'Data 15'!Q"&amp;IF('Plot Layout'!P10="",2,'Plot Layout'!P10+1))</f>
        <v>0.01</v>
      </c>
      <c r="R16">
        <f ca="1">INDIRECT("'Data 15'!R"&amp;IF('Plot Layout'!P10="",2,'Plot Layout'!P10+1))</f>
        <v>0</v>
      </c>
      <c r="S16">
        <f ca="1">INDIRECT("'Data 15'!S"&amp;IF('Plot Layout'!P10="",2,'Plot Layout'!P10+1))</f>
        <v>0</v>
      </c>
      <c r="T16">
        <f ca="1">INDIRECT("'Data 15'!T"&amp;IF('Plot Layout'!P10="",2,'Plot Layout'!P10+1))</f>
        <v>0</v>
      </c>
      <c r="U16">
        <f ca="1">INDIRECT("'Data 15'!U"&amp;IF('Plot Layout'!P10="",2,'Plot Layout'!P10+1))</f>
        <v>0</v>
      </c>
      <c r="V16">
        <f ca="1">INDIRECT("'Data 15'!V"&amp;IF('Plot Layout'!P10="",2,'Plot Layout'!P10+1))</f>
        <v>0</v>
      </c>
      <c r="W16">
        <f ca="1">INDIRECT("'Data 15'!W"&amp;IF('Plot Layout'!P10="",2,'Plot Layout'!P10+1))</f>
        <v>0</v>
      </c>
      <c r="X16">
        <f ca="1">INDIRECT("'Data 15'!X"&amp;IF('Plot Layout'!P10="",2,'Plot Layout'!P10+1))</f>
        <v>0</v>
      </c>
      <c r="Y16">
        <f ca="1">INDIRECT("'Data 15'!Y"&amp;IF('Plot Layout'!P10="",2,'Plot Layout'!P10+1))</f>
        <v>0</v>
      </c>
      <c r="Z16">
        <f ca="1">INDIRECT("'Data 15'!Z"&amp;IF('Plot Layout'!P10="",2,'Plot Layout'!P10+1))</f>
        <v>0</v>
      </c>
      <c r="AA16">
        <f ca="1">INDIRECT("'Data 15'!AA"&amp;IF('Plot Layout'!P10="",2,'Plot Layout'!P10+1))</f>
        <v>0</v>
      </c>
      <c r="AB16">
        <f ca="1">INDIRECT("'Data 15'!AB"&amp;IF('Plot Layout'!P10="",2,'Plot Layout'!P10+1))</f>
        <v>0</v>
      </c>
      <c r="AC16">
        <f ca="1">INDIRECT("'Data 15'!AC"&amp;IF('Plot Layout'!P10="",2,'Plot Layout'!P10+1))</f>
        <v>0</v>
      </c>
      <c r="AD16">
        <f ca="1">INDIRECT("'Data 15'!AD"&amp;IF('Plot Layout'!P10="",2,'Plot Layout'!P10+1))</f>
        <v>0</v>
      </c>
      <c r="AE16">
        <f ca="1">INDIRECT("'Data 15'!AE"&amp;IF('Plot Layout'!P10="",2,'Plot Layout'!P10+1))</f>
        <v>0</v>
      </c>
      <c r="AF16">
        <f ca="1">INDIRECT("'Data 15'!AF"&amp;IF('Plot Layout'!P10="",2,'Plot Layout'!P10+1))</f>
        <v>0</v>
      </c>
      <c r="AG16">
        <f ca="1">INDIRECT("'Data 15'!AG"&amp;IF('Plot Layout'!P10="",2,'Plot Layout'!P10+1))</f>
        <v>0</v>
      </c>
      <c r="AH16">
        <f ca="1">INDIRECT("'Data 15'!AH"&amp;IF('Plot Layout'!P10="",2,'Plot Layout'!P10+1))</f>
        <v>0</v>
      </c>
      <c r="AI16">
        <f ca="1">INDIRECT("'Data 15'!AI"&amp;IF('Plot Layout'!P10="",2,'Plot Layout'!P10+1))</f>
        <v>0</v>
      </c>
      <c r="AJ16">
        <f ca="1">INDIRECT("'Data 15'!AJ"&amp;IF('Plot Layout'!P10="",2,'Plot Layout'!P10+1))</f>
        <v>0</v>
      </c>
      <c r="AK16">
        <f ca="1">INDIRECT("'Data 15'!AK"&amp;IF('Plot Layout'!P10="",2,'Plot Layout'!P10+1))</f>
        <v>0</v>
      </c>
      <c r="AL16">
        <f ca="1">INDIRECT("'Data 15'!AL"&amp;IF('Plot Layout'!P10="",2,'Plot Layout'!P10+1))</f>
        <v>0</v>
      </c>
      <c r="AM16">
        <f ca="1">INDIRECT("'Data 15'!AM"&amp;IF('Plot Layout'!P10="",2,'Plot Layout'!P10+1))</f>
        <v>0</v>
      </c>
      <c r="AN16">
        <f ca="1">INDIRECT("'Data 15'!AN"&amp;IF('Plot Layout'!P10="",2,'Plot Layout'!P10+1))</f>
        <v>0</v>
      </c>
      <c r="AO16">
        <f ca="1">INDIRECT("'Data 15'!AO"&amp;IF('Plot Layout'!P10="",2,'Plot Layout'!P10+1))</f>
        <v>0</v>
      </c>
      <c r="AP16">
        <f ca="1">INDIRECT("'Data 15'!AP"&amp;IF('Plot Layout'!P10="",2,'Plot Layout'!P10+1))</f>
        <v>0</v>
      </c>
      <c r="AQ16">
        <f ca="1">INDIRECT("'Data 15'!AQ"&amp;IF('Plot Layout'!P10="",2,'Plot Layout'!P10+1))</f>
        <v>0</v>
      </c>
      <c r="AR16">
        <f ca="1">INDIRECT("'Data 15'!AR"&amp;IF('Plot Layout'!P10="",2,'Plot Layout'!P10+1))</f>
        <v>0</v>
      </c>
      <c r="AS16">
        <f ca="1">INDIRECT("'Data 15'!AS"&amp;IF('Plot Layout'!P10="",2,'Plot Layout'!P10+1))</f>
        <v>0</v>
      </c>
      <c r="AT16">
        <f ca="1">INDIRECT("'Data 15'!AT"&amp;IF('Plot Layout'!P10="",2,'Plot Layout'!P10+1))</f>
        <v>0</v>
      </c>
      <c r="AU16">
        <f ca="1">INDIRECT("'Data 15'!AU"&amp;IF('Plot Layout'!P10="",2,'Plot Layout'!P10+1))</f>
        <v>0</v>
      </c>
      <c r="AV16">
        <f ca="1">INDIRECT("'Data 15'!AV"&amp;IF('Plot Layout'!P10="",2,'Plot Layout'!P10+1))</f>
        <v>0</v>
      </c>
      <c r="AW16">
        <f ca="1">INDIRECT("'Data 15'!AW"&amp;IF('Plot Layout'!P10="",2,'Plot Layout'!P10+1))</f>
        <v>0</v>
      </c>
      <c r="AX16">
        <f ca="1">INDIRECT("'Data 15'!AX"&amp;IF('Plot Layout'!P10="",2,'Plot Layout'!P10+1))</f>
        <v>0</v>
      </c>
      <c r="AY16">
        <f ca="1">INDIRECT("'Data 15'!AY"&amp;IF('Plot Layout'!P10="",2,'Plot Layout'!P10+1))</f>
        <v>0</v>
      </c>
      <c r="AZ16">
        <f ca="1">INDIRECT("'Data 15'!AZ"&amp;IF('Plot Layout'!P10="",2,'Plot Layout'!P10+1))</f>
        <v>0</v>
      </c>
      <c r="BA16">
        <f ca="1">INDIRECT("'Data 15'!BA"&amp;IF('Plot Layout'!P10="",2,'Plot Layout'!P10+1))</f>
        <v>0</v>
      </c>
      <c r="BB16">
        <f ca="1">INDIRECT("'Data 15'!BB"&amp;IF('Plot Layout'!P10="",2,'Plot Layout'!P10+1))</f>
        <v>0</v>
      </c>
      <c r="BC16">
        <f ca="1">INDIRECT("'Data 15'!BC"&amp;IF('Plot Layout'!P10="",2,'Plot Layout'!P10+1))</f>
        <v>0</v>
      </c>
      <c r="BD16">
        <f ca="1">INDIRECT("'Data 15'!BD"&amp;IF('Plot Layout'!P10="",2,'Plot Layout'!P10+1))</f>
        <v>0</v>
      </c>
      <c r="BE16">
        <f ca="1">INDIRECT("'Data 15'!BE"&amp;IF('Plot Layout'!P10="",2,'Plot Layout'!P10+1))</f>
        <v>0</v>
      </c>
      <c r="BF16">
        <f ca="1">INDIRECT("'Data 15'!BF"&amp;IF('Plot Layout'!P10="",2,'Plot Layout'!P10+1))</f>
        <v>0</v>
      </c>
      <c r="BG16">
        <f ca="1">INDIRECT("'Data 15'!BG"&amp;IF('Plot Layout'!P10="",2,'Plot Layout'!P10+1))</f>
        <v>0</v>
      </c>
      <c r="BH16">
        <f ca="1">INDIRECT("'Data 15'!BH"&amp;IF('Plot Layout'!P10="",2,'Plot Layout'!P10+1))</f>
        <v>0</v>
      </c>
      <c r="BI16">
        <f ca="1">INDIRECT("'Data 15'!BI"&amp;IF('Plot Layout'!P10="",2,'Plot Layout'!P10+1))</f>
        <v>0</v>
      </c>
      <c r="BJ16">
        <f ca="1">INDIRECT("'Data 15'!BJ"&amp;IF('Plot Layout'!P10="",2,'Plot Layout'!P10+1))</f>
        <v>0</v>
      </c>
      <c r="BK16">
        <f ca="1">INDIRECT("'Data 15'!BK"&amp;IF('Plot Layout'!P10="",2,'Plot Layout'!P10+1))</f>
        <v>0</v>
      </c>
      <c r="BL16">
        <f ca="1">INDIRECT("'Data 15'!BL"&amp;IF('Plot Layout'!P10="",2,'Plot Layout'!P10+1))</f>
        <v>0</v>
      </c>
      <c r="BM16">
        <f ca="1">INDIRECT("'Data 15'!BM"&amp;IF('Plot Layout'!P10="",2,'Plot Layout'!P10+1))</f>
        <v>0</v>
      </c>
      <c r="BN16">
        <f ca="1">INDIRECT("'Data 15'!BN"&amp;IF('Plot Layout'!P10="",2,'Plot Layout'!P10+1))</f>
        <v>0</v>
      </c>
      <c r="BO16">
        <f ca="1">INDIRECT("'Data 15'!BO"&amp;IF('Plot Layout'!P10="",2,'Plot Layout'!P10+1))</f>
        <v>0</v>
      </c>
      <c r="BP16">
        <f ca="1">INDIRECT("'Data 15'!BP"&amp;IF('Plot Layout'!P10="",2,'Plot Layout'!P10+1))</f>
        <v>0</v>
      </c>
      <c r="BQ16">
        <f ca="1">INDIRECT("'Data 15'!BQ"&amp;IF('Plot Layout'!P10="",2,'Plot Layout'!P10+1))</f>
        <v>0</v>
      </c>
      <c r="BR16">
        <f ca="1">INDIRECT("'Data 15'!BR"&amp;IF('Plot Layout'!P10="",2,'Plot Layout'!P10+1))</f>
        <v>0</v>
      </c>
      <c r="BS16">
        <f ca="1">INDIRECT("'Data 15'!BS"&amp;IF('Plot Layout'!P10="",2,'Plot Layout'!P10+1))</f>
        <v>0</v>
      </c>
      <c r="BT16">
        <f ca="1">INDIRECT("'Data 15'!BT"&amp;IF('Plot Layout'!P10="",2,'Plot Layout'!P10+1))</f>
        <v>0</v>
      </c>
      <c r="BU16">
        <f ca="1">INDIRECT("'Data 15'!BU"&amp;IF('Plot Layout'!P10="",2,'Plot Layout'!P10+1))</f>
        <v>0</v>
      </c>
      <c r="BV16">
        <f ca="1">INDIRECT("'Data 15'!BV"&amp;IF('Plot Layout'!P10="",2,'Plot Layout'!P10+1))</f>
        <v>0</v>
      </c>
      <c r="BW16">
        <f ca="1">INDIRECT("'Data 15'!BW"&amp;IF('Plot Layout'!P10="",2,'Plot Layout'!P10+1))</f>
        <v>0</v>
      </c>
      <c r="BX16">
        <f ca="1">INDIRECT("'Data 15'!BX"&amp;IF('Plot Layout'!P10="",2,'Plot Layout'!P10+1))</f>
        <v>0</v>
      </c>
      <c r="BY16">
        <f ca="1">INDIRECT("'Data 15'!BY"&amp;IF('Plot Layout'!P10="",2,'Plot Layout'!P10+1))</f>
        <v>0</v>
      </c>
      <c r="BZ16">
        <f ca="1">INDIRECT("'Data 15'!BZ"&amp;IF('Plot Layout'!P10="",2,'Plot Layout'!P10+1))</f>
        <v>0</v>
      </c>
      <c r="CA16">
        <f ca="1">INDIRECT("'Data 15'!CA"&amp;IF('Plot Layout'!P10="",2,'Plot Layout'!P10+1))</f>
        <v>0</v>
      </c>
      <c r="CB16">
        <f ca="1">INDIRECT("'Data 15'!CB"&amp;IF('Plot Layout'!P10="",2,'Plot Layout'!P10+1))</f>
        <v>0</v>
      </c>
      <c r="CC16">
        <f ca="1">INDIRECT("'Data 15'!CC"&amp;IF('Plot Layout'!P10="",2,'Plot Layout'!P10+1))</f>
        <v>0</v>
      </c>
      <c r="CD16">
        <f ca="1">INDIRECT("'Data 15'!CD"&amp;IF('Plot Layout'!P10="",2,'Plot Layout'!P10+1))</f>
        <v>0</v>
      </c>
      <c r="CE16">
        <f ca="1">INDIRECT("'Data 15'!CE"&amp;IF('Plot Layout'!P10="",2,'Plot Layout'!P10+1))</f>
        <v>0</v>
      </c>
      <c r="CF16">
        <f ca="1">INDIRECT("'Data 15'!CF"&amp;IF('Plot Layout'!P10="",2,'Plot Layout'!P10+1))</f>
        <v>0</v>
      </c>
      <c r="CG16">
        <f ca="1">INDIRECT("'Data 15'!CG"&amp;IF('Plot Layout'!P10="",2,'Plot Layout'!P10+1))</f>
        <v>0</v>
      </c>
      <c r="CH16">
        <f ca="1">INDIRECT("'Data 15'!CH"&amp;IF('Plot Layout'!P10="",2,'Plot Layout'!P10+1))</f>
        <v>0</v>
      </c>
      <c r="CI16">
        <f ca="1">INDIRECT("'Data 15'!CI"&amp;IF('Plot Layout'!P10="",2,'Plot Layout'!P10+1))</f>
        <v>0</v>
      </c>
      <c r="CJ16">
        <f ca="1">INDIRECT("'Data 15'!CJ"&amp;IF('Plot Layout'!P10="",2,'Plot Layout'!P10+1))</f>
        <v>0</v>
      </c>
      <c r="CK16">
        <f ca="1">INDIRECT("'Data 15'!CK"&amp;IF('Plot Layout'!P10="",2,'Plot Layout'!P10+1))</f>
        <v>0</v>
      </c>
      <c r="CL16">
        <f ca="1">INDIRECT("'Data 15'!CL"&amp;IF('Plot Layout'!P10="",2,'Plot Layout'!P10+1))</f>
        <v>0</v>
      </c>
      <c r="CM16">
        <f ca="1">INDIRECT("'Data 15'!CM"&amp;IF('Plot Layout'!P10="",2,'Plot Layout'!P10+1))</f>
        <v>0</v>
      </c>
      <c r="CN16">
        <f ca="1">INDIRECT("'Data 15'!CN"&amp;IF('Plot Layout'!P10="",2,'Plot Layout'!P10+1))</f>
        <v>0</v>
      </c>
      <c r="CO16">
        <f ca="1">INDIRECT("'Data 15'!CO"&amp;IF('Plot Layout'!P10="",2,'Plot Layout'!P10+1))</f>
        <v>0</v>
      </c>
      <c r="CP16">
        <f ca="1">INDIRECT("'Data 15'!CP"&amp;IF('Plot Layout'!P10="",2,'Plot Layout'!P10+1))</f>
        <v>0</v>
      </c>
      <c r="CQ16">
        <f ca="1">INDIRECT("'Data 15'!CQ"&amp;IF('Plot Layout'!P10="",2,'Plot Layout'!P10+1))</f>
        <v>0</v>
      </c>
      <c r="CR16">
        <f ca="1">INDIRECT("'Data 15'!CR"&amp;IF('Plot Layout'!P10="",2,'Plot Layout'!P10+1))</f>
        <v>0</v>
      </c>
      <c r="CS16">
        <f ca="1">INDIRECT("'Data 15'!CS"&amp;IF('Plot Layout'!P10="",2,'Plot Layout'!P10+1))</f>
        <v>0</v>
      </c>
      <c r="CT16">
        <f ca="1">INDIRECT("'Data 15'!CT"&amp;IF('Plot Layout'!P10="",2,'Plot Layout'!P10+1))</f>
        <v>0</v>
      </c>
      <c r="CU16">
        <f ca="1">INDIRECT("'Data 15'!CU"&amp;IF('Plot Layout'!P10="",2,'Plot Layout'!P10+1))</f>
        <v>0</v>
      </c>
      <c r="CV16">
        <f ca="1">INDIRECT("'Data 15'!CV"&amp;IF('Plot Layout'!P10="",2,'Plot Layout'!P10+1))</f>
        <v>0</v>
      </c>
      <c r="CW16">
        <f ca="1">INDIRECT("'Data 15'!CW"&amp;IF('Plot Layout'!P10="",2,'Plot Layout'!P10+1))</f>
        <v>0</v>
      </c>
      <c r="CX16">
        <f ca="1">INDIRECT("'Data 15'!CX"&amp;IF('Plot Layout'!P10="",2,'Plot Layout'!P10+1))</f>
        <v>0</v>
      </c>
      <c r="CY16">
        <f ca="1">INDIRECT("'Data 15'!CY"&amp;IF('Plot Layout'!P10="",2,'Plot Layout'!P10+1))</f>
        <v>0</v>
      </c>
      <c r="CZ16">
        <f ca="1">INDIRECT("'Data 15'!CZ"&amp;IF('Plot Layout'!P10="",2,'Plot Layout'!P10+1))</f>
        <v>0</v>
      </c>
      <c r="DA16">
        <f ca="1">INDIRECT("'Data 15'!DA"&amp;IF('Plot Layout'!P10="",2,'Plot Layout'!P10+1))</f>
        <v>0</v>
      </c>
      <c r="DB16">
        <f ca="1">INDIRECT("'Data 15'!DB"&amp;IF('Plot Layout'!P10="",2,'Plot Layout'!P10+1))</f>
        <v>0</v>
      </c>
      <c r="DC16">
        <f ca="1">INDIRECT("'Data 15'!DC"&amp;IF('Plot Layout'!P10="",2,'Plot Layout'!P10+1))</f>
        <v>0</v>
      </c>
      <c r="DD16">
        <f ca="1">INDIRECT("'Data 15'!DD"&amp;IF('Plot Layout'!P10="",2,'Plot Layout'!P10+1))</f>
        <v>0</v>
      </c>
      <c r="DE16">
        <f ca="1">INDIRECT("'Data 15'!DE"&amp;IF('Plot Layout'!P10="",2,'Plot Layout'!P10+1))</f>
        <v>0</v>
      </c>
      <c r="DF16">
        <f ca="1">INDIRECT("'Data 15'!DF"&amp;IF('Plot Layout'!P10="",2,'Plot Layout'!P10+1))</f>
        <v>0</v>
      </c>
      <c r="DG16">
        <f ca="1">INDIRECT("'Data 15'!DG"&amp;IF('Plot Layout'!P10="",2,'Plot Layout'!P10+1))</f>
        <v>0</v>
      </c>
      <c r="DH16">
        <f ca="1">INDIRECT("'Data 15'!DH"&amp;IF('Plot Layout'!P10="",2,'Plot Layout'!P10+1))</f>
        <v>0</v>
      </c>
      <c r="DI16">
        <f ca="1">INDIRECT("'Data 15'!DI"&amp;IF('Plot Layout'!P10="",2,'Plot Layout'!P10+1))</f>
        <v>0</v>
      </c>
      <c r="DJ16">
        <f ca="1">INDIRECT("'Data 15'!DJ"&amp;IF('Plot Layout'!P10="",2,'Plot Layout'!P10+1))</f>
        <v>0</v>
      </c>
      <c r="DK16">
        <f ca="1">INDIRECT("'Data 15'!DK"&amp;IF('Plot Layout'!P10="",2,'Plot Layout'!P10+1))</f>
        <v>0</v>
      </c>
      <c r="DL16">
        <f ca="1">INDIRECT("'Data 15'!DL"&amp;IF('Plot Layout'!P10="",2,'Plot Layout'!P10+1))</f>
        <v>0</v>
      </c>
      <c r="DM16">
        <f ca="1">INDIRECT("'Data 15'!DM"&amp;IF('Plot Layout'!P10="",2,'Plot Layout'!P10+1))</f>
        <v>0</v>
      </c>
      <c r="DN16">
        <f ca="1">INDIRECT("'Data 15'!DN"&amp;IF('Plot Layout'!P10="",2,'Plot Layout'!P10+1))</f>
        <v>0</v>
      </c>
      <c r="DO16">
        <f ca="1">INDIRECT("'Data 15'!DO"&amp;IF('Plot Layout'!P10="",2,'Plot Layout'!P10+1))</f>
        <v>0</v>
      </c>
      <c r="DP16">
        <f ca="1">INDIRECT("'Data 15'!DP"&amp;IF('Plot Layout'!P10="",2,'Plot Layout'!P10+1))</f>
        <v>0</v>
      </c>
      <c r="DQ16">
        <f ca="1">INDIRECT("'Data 15'!DQ"&amp;IF('Plot Layout'!P10="",2,'Plot Layout'!P10+1))</f>
        <v>0</v>
      </c>
      <c r="DR16">
        <f ca="1">INDIRECT("'Data 15'!DR"&amp;IF('Plot Layout'!P10="",2,'Plot Layout'!P10+1))</f>
        <v>0</v>
      </c>
      <c r="DS16">
        <f ca="1">INDIRECT("'Data 15'!DS"&amp;IF('Plot Layout'!P10="",2,'Plot Layout'!P10+1))</f>
        <v>0</v>
      </c>
      <c r="DT16">
        <f ca="1">INDIRECT("'Data 15'!DT"&amp;IF('Plot Layout'!P10="",2,'Plot Layout'!P10+1))</f>
        <v>0</v>
      </c>
      <c r="DU16">
        <f ca="1">INDIRECT("'Data 15'!DU"&amp;IF('Plot Layout'!P10="",2,'Plot Layout'!P10+1))</f>
        <v>0</v>
      </c>
      <c r="DV16">
        <f ca="1">INDIRECT("'Data 15'!DV"&amp;IF('Plot Layout'!P10="",2,'Plot Layout'!P10+1))</f>
        <v>0</v>
      </c>
      <c r="DW16">
        <f ca="1">INDIRECT("'Data 15'!DW"&amp;IF('Plot Layout'!P10="",2,'Plot Layout'!P10+1))</f>
        <v>0</v>
      </c>
      <c r="DX16">
        <f ca="1">INDIRECT("'Data 15'!DX"&amp;IF('Plot Layout'!P10="",2,'Plot Layout'!P10+1))</f>
        <v>0</v>
      </c>
      <c r="DY16">
        <f ca="1">INDIRECT("'Data 15'!DY"&amp;IF('Plot Layout'!P10="",2,'Plot Layout'!P10+1))</f>
        <v>0</v>
      </c>
      <c r="DZ16">
        <f ca="1">INDIRECT("'Data 15'!DZ"&amp;IF('Plot Layout'!P10="",2,'Plot Layout'!P10+1))</f>
        <v>0</v>
      </c>
      <c r="EA16">
        <f ca="1">INDIRECT("'Data 15'!EA"&amp;IF('Plot Layout'!P10="",2,'Plot Layout'!P10+1))</f>
        <v>0</v>
      </c>
      <c r="EB16">
        <f ca="1">INDIRECT("'Data 15'!EB"&amp;IF('Plot Layout'!P10="",2,'Plot Layout'!P10+1))</f>
        <v>0</v>
      </c>
      <c r="EC16">
        <f ca="1">INDIRECT("'Data 15'!EC"&amp;IF('Plot Layout'!P10="",2,'Plot Layout'!P10+1))</f>
        <v>0</v>
      </c>
      <c r="ED16">
        <f ca="1">INDIRECT("'Data 15'!ED"&amp;IF('Plot Layout'!P10="",2,'Plot Layout'!P10+1))</f>
        <v>0</v>
      </c>
      <c r="EE16">
        <f ca="1">INDIRECT("'Data 15'!EE"&amp;IF('Plot Layout'!P10="",2,'Plot Layout'!P10+1))</f>
        <v>0</v>
      </c>
      <c r="EF16">
        <f ca="1">INDIRECT("'Data 15'!EF"&amp;IF('Plot Layout'!P10="",2,'Plot Layout'!P10+1))</f>
        <v>0</v>
      </c>
      <c r="EG16">
        <f ca="1">INDIRECT("'Data 15'!EG"&amp;IF('Plot Layout'!P10="",2,'Plot Layout'!P10+1))</f>
        <v>0</v>
      </c>
      <c r="EH16">
        <f ca="1">INDIRECT("'Data 15'!EH"&amp;IF('Plot Layout'!P10="",2,'Plot Layout'!P10+1))</f>
        <v>0</v>
      </c>
      <c r="EI16">
        <f ca="1">INDIRECT("'Data 15'!EI"&amp;IF('Plot Layout'!P10="",2,'Plot Layout'!P10+1))</f>
        <v>0</v>
      </c>
      <c r="EJ16">
        <f ca="1">INDIRECT("'Data 15'!EJ"&amp;IF('Plot Layout'!P10="",2,'Plot Layout'!P10+1))</f>
        <v>0</v>
      </c>
      <c r="EK16">
        <f ca="1">INDIRECT("'Data 15'!EK"&amp;IF('Plot Layout'!P10="",2,'Plot Layout'!P10+1))</f>
        <v>0</v>
      </c>
      <c r="EL16">
        <f ca="1">INDIRECT("'Data 15'!EL"&amp;IF('Plot Layout'!P10="",2,'Plot Layout'!P10+1))</f>
        <v>0</v>
      </c>
      <c r="EM16">
        <f ca="1">INDIRECT("'Data 15'!EM"&amp;IF('Plot Layout'!P10="",2,'Plot Layout'!P10+1))</f>
        <v>0</v>
      </c>
      <c r="EN16">
        <f ca="1">INDIRECT("'Data 15'!EN"&amp;IF('Plot Layout'!P10="",2,'Plot Layout'!P10+1))</f>
        <v>0</v>
      </c>
      <c r="EO16">
        <f ca="1">INDIRECT("'Data 15'!EO"&amp;IF('Plot Layout'!P10="",2,'Plot Layout'!P10+1))</f>
        <v>0</v>
      </c>
      <c r="EP16">
        <f ca="1">INDIRECT("'Data 15'!EP"&amp;IF('Plot Layout'!P10="",2,'Plot Layout'!P10+1))</f>
        <v>0</v>
      </c>
      <c r="EQ16">
        <f ca="1">INDIRECT("'Data 15'!EQ"&amp;IF('Plot Layout'!P10="",2,'Plot Layout'!P10+1))</f>
        <v>0</v>
      </c>
      <c r="ER16">
        <f ca="1">INDIRECT("'Data 15'!ER"&amp;IF('Plot Layout'!P10="",2,'Plot Layout'!P10+1))</f>
        <v>0</v>
      </c>
      <c r="ES16">
        <f ca="1">INDIRECT("'Data 15'!ES"&amp;IF('Plot Layout'!P10="",2,'Plot Layout'!P10+1))</f>
        <v>0</v>
      </c>
      <c r="ET16">
        <f ca="1">INDIRECT("'Data 15'!ET"&amp;IF('Plot Layout'!P10="",2,'Plot Layout'!P10+1))</f>
        <v>0</v>
      </c>
      <c r="EU16">
        <f ca="1">INDIRECT("'Data 15'!EU"&amp;IF('Plot Layout'!P10="",2,'Plot Layout'!P10+1))</f>
        <v>0</v>
      </c>
      <c r="EV16">
        <f ca="1">INDIRECT("'Data 15'!EV"&amp;IF('Plot Layout'!P10="",2,'Plot Layout'!P10+1))</f>
        <v>0</v>
      </c>
      <c r="EW16">
        <f ca="1">INDIRECT("'Data 15'!EW"&amp;IF('Plot Layout'!P10="",2,'Plot Layout'!P10+1))</f>
        <v>0</v>
      </c>
      <c r="EX16">
        <f ca="1">INDIRECT("'Data 15'!EX"&amp;IF('Plot Layout'!P10="",2,'Plot Layout'!P10+1))</f>
        <v>0</v>
      </c>
      <c r="EY16">
        <f ca="1">INDIRECT("'Data 15'!EY"&amp;IF('Plot Layout'!P10="",2,'Plot Layout'!P10+1))</f>
        <v>0</v>
      </c>
      <c r="EZ16">
        <f ca="1">INDIRECT("'Data 15'!EZ"&amp;IF('Plot Layout'!P10="",2,'Plot Layout'!P10+1))</f>
        <v>0</v>
      </c>
      <c r="FA16">
        <f ca="1">INDIRECT("'Data 15'!FA"&amp;IF('Plot Layout'!P10="",2,'Plot Layout'!P10+1))</f>
        <v>0</v>
      </c>
      <c r="FB16">
        <f ca="1">INDIRECT("'Data 15'!FB"&amp;IF('Plot Layout'!P10="",2,'Plot Layout'!P10+1))</f>
        <v>0</v>
      </c>
      <c r="FC16">
        <f ca="1">INDIRECT("'Data 15'!FC"&amp;IF('Plot Layout'!P10="",2,'Plot Layout'!P10+1))</f>
        <v>0</v>
      </c>
      <c r="FD16">
        <f ca="1">INDIRECT("'Data 15'!FD"&amp;IF('Plot Layout'!P10="",2,'Plot Layout'!P10+1))</f>
        <v>0</v>
      </c>
      <c r="FE16">
        <f ca="1">INDIRECT("'Data 15'!FE"&amp;IF('Plot Layout'!P10="",2,'Plot Layout'!P10+1))</f>
        <v>0</v>
      </c>
      <c r="FF16">
        <f ca="1">INDIRECT("'Data 15'!FF"&amp;IF('Plot Layout'!P10="",2,'Plot Layout'!P10+1))</f>
        <v>0</v>
      </c>
      <c r="FG16">
        <f ca="1">INDIRECT("'Data 15'!FG"&amp;IF('Plot Layout'!P10="",2,'Plot Layout'!P10+1))</f>
        <v>0</v>
      </c>
      <c r="FH16">
        <f ca="1">INDIRECT("'Data 15'!FH"&amp;IF('Plot Layout'!P10="",2,'Plot Layout'!P10+1))</f>
        <v>0</v>
      </c>
      <c r="FI16">
        <f ca="1">INDIRECT("'Data 15'!FI"&amp;IF('Plot Layout'!P10="",2,'Plot Layout'!P10+1))</f>
        <v>0</v>
      </c>
      <c r="FJ16">
        <f ca="1">INDIRECT("'Data 15'!FJ"&amp;IF('Plot Layout'!P10="",2,'Plot Layout'!P10+1))</f>
        <v>0</v>
      </c>
      <c r="FK16">
        <f ca="1">INDIRECT("'Data 15'!FK"&amp;IF('Plot Layout'!P10="",2,'Plot Layout'!P10+1))</f>
        <v>0</v>
      </c>
      <c r="FL16">
        <f ca="1">INDIRECT("'Data 15'!FL"&amp;IF('Plot Layout'!P10="",2,'Plot Layout'!P10+1))</f>
        <v>0</v>
      </c>
      <c r="FM16">
        <f ca="1">INDIRECT("'Data 15'!FM"&amp;IF('Plot Layout'!P10="",2,'Plot Layout'!P10+1))</f>
        <v>0</v>
      </c>
      <c r="FN16">
        <f ca="1">INDIRECT("'Data 15'!FN"&amp;IF('Plot Layout'!P10="",2,'Plot Layout'!P10+1))</f>
        <v>0</v>
      </c>
      <c r="FO16">
        <f ca="1">INDIRECT("'Data 15'!FO"&amp;IF('Plot Layout'!P10="",2,'Plot Layout'!P10+1))</f>
        <v>0</v>
      </c>
      <c r="FP16">
        <f ca="1">INDIRECT("'Data 15'!FP"&amp;IF('Plot Layout'!P10="",2,'Plot Layout'!P10+1))</f>
        <v>0</v>
      </c>
      <c r="FQ16">
        <f ca="1">INDIRECT("'Data 15'!FQ"&amp;IF('Plot Layout'!P10="",2,'Plot Layout'!P10+1))</f>
        <v>0</v>
      </c>
      <c r="FR16">
        <f ca="1">INDIRECT("'Data 15'!FR"&amp;IF('Plot Layout'!P10="",2,'Plot Layout'!P10+1))</f>
        <v>0</v>
      </c>
      <c r="FS16">
        <f ca="1">INDIRECT("'Data 15'!FS"&amp;IF('Plot Layout'!P10="",2,'Plot Layout'!P10+1))</f>
        <v>0</v>
      </c>
      <c r="FT16">
        <f ca="1">INDIRECT("'Data 15'!FT"&amp;IF('Plot Layout'!P10="",2,'Plot Layout'!P10+1))</f>
        <v>0</v>
      </c>
      <c r="FU16">
        <f ca="1">INDIRECT("'Data 15'!FU"&amp;IF('Plot Layout'!P10="",2,'Plot Layout'!P10+1))</f>
        <v>0</v>
      </c>
      <c r="FV16">
        <f ca="1">INDIRECT("'Data 15'!FV"&amp;IF('Plot Layout'!P10="",2,'Plot Layout'!P10+1))</f>
        <v>0</v>
      </c>
      <c r="FW16">
        <f ca="1">INDIRECT("'Data 15'!FW"&amp;IF('Plot Layout'!P10="",2,'Plot Layout'!P10+1))</f>
        <v>0</v>
      </c>
      <c r="FX16">
        <f ca="1">INDIRECT("'Data 15'!FX"&amp;IF('Plot Layout'!P10="",2,'Plot Layout'!P10+1))</f>
        <v>0</v>
      </c>
      <c r="FY16">
        <f ca="1">INDIRECT("'Data 15'!FY"&amp;IF('Plot Layout'!P10="",2,'Plot Layout'!P10+1))</f>
        <v>0</v>
      </c>
      <c r="FZ16">
        <f ca="1">INDIRECT("'Data 15'!FZ"&amp;IF('Plot Layout'!P10="",2,'Plot Layout'!P10+1))</f>
        <v>0</v>
      </c>
      <c r="GA16">
        <f ca="1">INDIRECT("'Data 15'!GA"&amp;IF('Plot Layout'!P10="",2,'Plot Layout'!P10+1))</f>
        <v>0</v>
      </c>
      <c r="GB16">
        <f ca="1">INDIRECT("'Data 15'!GB"&amp;IF('Plot Layout'!P10="",2,'Plot Layout'!P10+1))</f>
        <v>0</v>
      </c>
      <c r="GC16">
        <f ca="1">INDIRECT("'Data 15'!GC"&amp;IF('Plot Layout'!P10="",2,'Plot Layout'!P10+1))</f>
        <v>0</v>
      </c>
      <c r="GD16">
        <f ca="1">INDIRECT("'Data 15'!GD"&amp;IF('Plot Layout'!P10="",2,'Plot Layout'!P10+1))</f>
        <v>0</v>
      </c>
      <c r="GE16">
        <f ca="1">INDIRECT("'Data 15'!GE"&amp;IF('Plot Layout'!P10="",2,'Plot Layout'!P10+1))</f>
        <v>0</v>
      </c>
      <c r="GF16">
        <f ca="1">INDIRECT("'Data 15'!GF"&amp;IF('Plot Layout'!P10="",2,'Plot Layout'!P10+1))</f>
        <v>0</v>
      </c>
      <c r="GG16">
        <f ca="1">INDIRECT("'Data 15'!GG"&amp;IF('Plot Layout'!P10="",2,'Plot Layout'!P10+1))</f>
        <v>0</v>
      </c>
      <c r="GH16">
        <f ca="1">INDIRECT("'Data 15'!GH"&amp;IF('Plot Layout'!P10="",2,'Plot Layout'!P10+1))</f>
        <v>0</v>
      </c>
      <c r="GI16">
        <f ca="1">INDIRECT("'Data 15'!GI"&amp;IF('Plot Layout'!P10="",2,'Plot Layout'!P10+1))</f>
        <v>0</v>
      </c>
      <c r="GJ16">
        <f ca="1">INDIRECT("'Data 15'!GJ"&amp;IF('Plot Layout'!P10="",2,'Plot Layout'!P10+1))</f>
        <v>0</v>
      </c>
      <c r="GK16">
        <f ca="1">INDIRECT("'Data 15'!GK"&amp;IF('Plot Layout'!P10="",2,'Plot Layout'!P10+1))</f>
        <v>0</v>
      </c>
      <c r="GL16">
        <f ca="1">INDIRECT("'Data 15'!GL"&amp;IF('Plot Layout'!P10="",2,'Plot Layout'!P10+1))</f>
        <v>0</v>
      </c>
      <c r="GM16">
        <f ca="1">INDIRECT("'Data 15'!GM"&amp;IF('Plot Layout'!P10="",2,'Plot Layout'!P10+1))</f>
        <v>0</v>
      </c>
      <c r="GN16">
        <f ca="1">INDIRECT("'Data 15'!GN"&amp;IF('Plot Layout'!P10="",2,'Plot Layout'!P10+1))</f>
        <v>0</v>
      </c>
      <c r="GO16">
        <f ca="1">INDIRECT("'Data 15'!GO"&amp;IF('Plot Layout'!P10="",2,'Plot Layout'!P10+1))</f>
        <v>0</v>
      </c>
      <c r="GP16">
        <f ca="1">INDIRECT("'Data 15'!GP"&amp;IF('Plot Layout'!P10="",2,'Plot Layout'!P10+1))</f>
        <v>0</v>
      </c>
      <c r="GQ16">
        <f ca="1">INDIRECT("'Data 15'!GQ"&amp;IF('Plot Layout'!P10="",2,'Plot Layout'!P10+1))</f>
        <v>0</v>
      </c>
      <c r="GR16">
        <f ca="1">INDIRECT("'Data 15'!GR"&amp;IF('Plot Layout'!P10="",2,'Plot Layout'!P10+1))</f>
        <v>0</v>
      </c>
      <c r="GS16">
        <f ca="1">INDIRECT("'Data 15'!GS"&amp;IF('Plot Layout'!P10="",2,'Plot Layout'!P10+1))</f>
        <v>0</v>
      </c>
      <c r="GT16">
        <f ca="1">INDIRECT("'Data 15'!GT"&amp;IF('Plot Layout'!P10="",2,'Plot Layout'!P10+1))</f>
        <v>0</v>
      </c>
      <c r="GU16">
        <f ca="1">INDIRECT("'Data 15'!GU"&amp;IF('Plot Layout'!P10="",2,'Plot Layout'!P10+1))</f>
        <v>0</v>
      </c>
      <c r="GV16">
        <f ca="1">INDIRECT("'Data 15'!GV"&amp;IF('Plot Layout'!P10="",2,'Plot Layout'!P10+1))</f>
        <v>0</v>
      </c>
      <c r="GW16">
        <f ca="1">INDIRECT("'Data 15'!GW"&amp;IF('Plot Layout'!P10="",2,'Plot Layout'!P10+1))</f>
        <v>0</v>
      </c>
      <c r="GX16">
        <f ca="1">INDIRECT("'Data 15'!GX"&amp;IF('Plot Layout'!P10="",2,'Plot Layout'!P10+1))</f>
        <v>0</v>
      </c>
      <c r="GY16">
        <f ca="1">INDIRECT("'Data 15'!GY"&amp;IF('Plot Layout'!P10="",2,'Plot Layout'!P10+1))</f>
        <v>0</v>
      </c>
      <c r="GZ16">
        <f ca="1">INDIRECT("'Data 15'!GZ"&amp;IF('Plot Layout'!P10="",2,'Plot Layout'!P10+1))</f>
        <v>0</v>
      </c>
      <c r="HA16">
        <f ca="1">INDIRECT("'Data 15'!HA"&amp;IF('Plot Layout'!P10="",2,'Plot Layout'!P10+1))</f>
        <v>0</v>
      </c>
      <c r="HB16">
        <f ca="1">INDIRECT("'Data 15'!HB"&amp;IF('Plot Layout'!P10="",2,'Plot Layout'!P10+1))</f>
        <v>0</v>
      </c>
      <c r="HC16">
        <f ca="1">INDIRECT("'Data 15'!HC"&amp;IF('Plot Layout'!P10="",2,'Plot Layout'!P10+1))</f>
        <v>0</v>
      </c>
      <c r="HD16">
        <f ca="1">INDIRECT("'Data 15'!HD"&amp;IF('Plot Layout'!P10="",2,'Plot Layout'!P10+1))</f>
        <v>0</v>
      </c>
      <c r="HE16">
        <f ca="1">INDIRECT("'Data 15'!HE"&amp;IF('Plot Layout'!P10="",2,'Plot Layout'!P10+1))</f>
        <v>0</v>
      </c>
      <c r="HF16">
        <f ca="1">INDIRECT("'Data 15'!HF"&amp;IF('Plot Layout'!P10="",2,'Plot Layout'!P10+1))</f>
        <v>0</v>
      </c>
      <c r="HG16">
        <f ca="1">INDIRECT("'Data 15'!HG"&amp;IF('Plot Layout'!P10="",2,'Plot Layout'!P10+1))</f>
        <v>0</v>
      </c>
      <c r="HH16">
        <f ca="1">INDIRECT("'Data 15'!HH"&amp;IF('Plot Layout'!P10="",2,'Plot Layout'!P10+1))</f>
        <v>0</v>
      </c>
      <c r="HI16">
        <f ca="1">INDIRECT("'Data 15'!HI"&amp;IF('Plot Layout'!P10="",2,'Plot Layout'!P10+1))</f>
        <v>0</v>
      </c>
      <c r="HJ16">
        <f ca="1">INDIRECT("'Data 15'!HJ"&amp;IF('Plot Layout'!P10="",2,'Plot Layout'!P10+1))</f>
        <v>0</v>
      </c>
      <c r="HK16">
        <f ca="1">INDIRECT("'Data 15'!HK"&amp;IF('Plot Layout'!P10="",2,'Plot Layout'!P10+1))</f>
        <v>0</v>
      </c>
      <c r="HL16">
        <f ca="1">INDIRECT("'Data 15'!HL"&amp;IF('Plot Layout'!P10="",2,'Plot Layout'!P10+1))</f>
        <v>0</v>
      </c>
      <c r="HM16">
        <f ca="1">INDIRECT("'Data 15'!HM"&amp;IF('Plot Layout'!P10="",2,'Plot Layout'!P10+1))</f>
        <v>0</v>
      </c>
      <c r="HN16">
        <f ca="1">INDIRECT("'Data 15'!HN"&amp;IF('Plot Layout'!P10="",2,'Plot Layout'!P10+1))</f>
        <v>0</v>
      </c>
      <c r="HO16">
        <f ca="1">INDIRECT("'Data 15'!HO"&amp;IF('Plot Layout'!P10="",2,'Plot Layout'!P10+1))</f>
        <v>0</v>
      </c>
      <c r="HP16">
        <f ca="1">INDIRECT("'Data 15'!HP"&amp;IF('Plot Layout'!P10="",2,'Plot Layout'!P10+1))</f>
        <v>0</v>
      </c>
      <c r="HQ16">
        <f ca="1">INDIRECT("'Data 15'!HQ"&amp;IF('Plot Layout'!P10="",2,'Plot Layout'!P10+1))</f>
        <v>0</v>
      </c>
      <c r="HR16">
        <f ca="1">INDIRECT("'Data 15'!HR"&amp;IF('Plot Layout'!P10="",2,'Plot Layout'!P10+1))</f>
        <v>0</v>
      </c>
      <c r="HS16">
        <f ca="1">INDIRECT("'Data 15'!HS"&amp;IF('Plot Layout'!P10="",2,'Plot Layout'!P10+1))</f>
        <v>0</v>
      </c>
      <c r="HT16">
        <f ca="1">INDIRECT("'Data 15'!HT"&amp;IF('Plot Layout'!P10="",2,'Plot Layout'!P10+1))</f>
        <v>0</v>
      </c>
      <c r="HU16">
        <f ca="1">INDIRECT("'Data 15'!HU"&amp;IF('Plot Layout'!P10="",2,'Plot Layout'!P10+1))</f>
        <v>0</v>
      </c>
      <c r="HV16">
        <f ca="1">INDIRECT("'Data 15'!HV"&amp;IF('Plot Layout'!P10="",2,'Plot Layout'!P10+1))</f>
        <v>0</v>
      </c>
      <c r="HW16">
        <f ca="1">INDIRECT("'Data 15'!HW"&amp;IF('Plot Layout'!P10="",2,'Plot Layout'!P10+1))</f>
        <v>0</v>
      </c>
      <c r="HX16">
        <f ca="1">INDIRECT("'Data 15'!HX"&amp;IF('Plot Layout'!P10="",2,'Plot Layout'!P10+1))</f>
        <v>0</v>
      </c>
      <c r="HY16">
        <f ca="1">INDIRECT("'Data 15'!HY"&amp;IF('Plot Layout'!P10="",2,'Plot Layout'!P10+1))</f>
        <v>0</v>
      </c>
      <c r="HZ16">
        <f ca="1">INDIRECT("'Data 15'!HZ"&amp;IF('Plot Layout'!P10="",2,'Plot Layout'!P10+1))</f>
        <v>0</v>
      </c>
      <c r="IA16">
        <f ca="1">INDIRECT("'Data 15'!IA"&amp;IF('Plot Layout'!P10="",2,'Plot Layout'!P10+1))</f>
        <v>0</v>
      </c>
      <c r="IB16">
        <f ca="1">INDIRECT("'Data 15'!IB"&amp;IF('Plot Layout'!P10="",2,'Plot Layout'!P10+1))</f>
        <v>0</v>
      </c>
      <c r="IC16">
        <f ca="1">INDIRECT("'Data 15'!IC"&amp;IF('Plot Layout'!P10="",2,'Plot Layout'!P10+1))</f>
        <v>0</v>
      </c>
      <c r="ID16">
        <f ca="1">INDIRECT("'Data 15'!ID"&amp;IF('Plot Layout'!P10="",2,'Plot Layout'!P10+1))</f>
        <v>0</v>
      </c>
      <c r="IE16">
        <f ca="1">INDIRECT("'Data 15'!IE"&amp;IF('Plot Layout'!P10="",2,'Plot Layout'!P10+1))</f>
        <v>0</v>
      </c>
      <c r="IF16">
        <f ca="1">INDIRECT("'Data 15'!IF"&amp;IF('Plot Layout'!P10="",2,'Plot Layout'!P10+1))</f>
        <v>0</v>
      </c>
      <c r="IG16">
        <f ca="1">INDIRECT("'Data 15'!IG"&amp;IF('Plot Layout'!P10="",2,'Plot Layout'!P10+1))</f>
        <v>0</v>
      </c>
      <c r="IH16">
        <f ca="1">INDIRECT("'Data 15'!IH"&amp;IF('Plot Layout'!P10="",2,'Plot Layout'!P10+1))</f>
        <v>0</v>
      </c>
      <c r="II16">
        <f ca="1">INDIRECT("'Data 15'!II"&amp;IF('Plot Layout'!P10="",2,'Plot Layout'!P10+1))</f>
        <v>0</v>
      </c>
      <c r="IJ16">
        <f ca="1">INDIRECT("'Data 15'!IJ"&amp;IF('Plot Layout'!P10="",2,'Plot Layout'!P10+1))</f>
        <v>0</v>
      </c>
      <c r="IK16">
        <f ca="1">INDIRECT("'Data 15'!IK"&amp;IF('Plot Layout'!P10="",2,'Plot Layout'!P10+1))</f>
        <v>0</v>
      </c>
      <c r="IL16">
        <f ca="1">INDIRECT("'Data 15'!IL"&amp;IF('Plot Layout'!P10="",2,'Plot Layout'!P10+1))</f>
        <v>0</v>
      </c>
      <c r="IM16">
        <f ca="1">INDIRECT("'Data 15'!IM"&amp;IF('Plot Layout'!P10="",2,'Plot Layout'!P10+1))</f>
        <v>0</v>
      </c>
      <c r="IN16">
        <f ca="1">INDIRECT("'Data 15'!IN"&amp;IF('Plot Layout'!P10="",2,'Plot Layout'!P10+1))</f>
        <v>0</v>
      </c>
      <c r="IO16">
        <f ca="1">INDIRECT("'Data 15'!IO"&amp;IF('Plot Layout'!P10="",2,'Plot Layout'!P10+1))</f>
        <v>0</v>
      </c>
      <c r="IP16">
        <f ca="1">INDIRECT("'Data 15'!IP"&amp;IF('Plot Layout'!P10="",2,'Plot Layout'!P10+1))</f>
        <v>0</v>
      </c>
      <c r="IQ16">
        <f ca="1">INDIRECT("'Data 15'!IQ"&amp;IF('Plot Layout'!P10="",2,'Plot Layout'!P10+1))</f>
        <v>0</v>
      </c>
      <c r="IR16">
        <f ca="1">INDIRECT("'Data 15'!IR"&amp;IF('Plot Layout'!P10="",2,'Plot Layout'!P10+1))</f>
        <v>0</v>
      </c>
      <c r="IS16">
        <f ca="1">INDIRECT("'Data 15'!IS"&amp;IF('Plot Layout'!P10="",2,'Plot Layout'!P10+1))</f>
        <v>0</v>
      </c>
      <c r="IT16">
        <f ca="1">INDIRECT("'Data 15'!IT"&amp;IF('Plot Layout'!P10="",2,'Plot Layout'!P10+1))</f>
        <v>0</v>
      </c>
      <c r="IU16">
        <f ca="1">INDIRECT("'Data 15'!IU"&amp;IF('Plot Layout'!P10="",2,'Plot Layout'!P10+1))</f>
        <v>0</v>
      </c>
      <c r="IV16">
        <f ca="1">INDIRECT("'Data 15'!IV"&amp;IF('Plot Layout'!P10="",2,'Plot Layout'!P10+1))</f>
        <v>0</v>
      </c>
    </row>
    <row r="17" spans="1:256">
      <c r="A17">
        <f ca="1">INDIRECT("'Data 16'!A"&amp;IF('Plot Layout'!Q10="",2,'Plot Layout'!Q10+1))</f>
        <v>60</v>
      </c>
      <c r="B17">
        <f ca="1">INDIRECT("'Data 16'!B"&amp;IF('Plot Layout'!Q10="",2,'Plot Layout'!Q10+1))</f>
        <v>0.5</v>
      </c>
      <c r="C17" t="str">
        <f ca="1">INDIRECT("'Data 16'!C"&amp;IF('Plot Layout'!Q10="",2,'Plot Layout'!Q10+1))</f>
        <v>65-410</v>
      </c>
      <c r="D17">
        <f ca="1">INDIRECT("'Data 16'!D"&amp;IF('Plot Layout'!Q10="",2,'Plot Layout'!Q10+1))</f>
        <v>6.7000000000000002E-3</v>
      </c>
      <c r="E17">
        <f ca="1">INDIRECT("'Data 16'!E"&amp;IF('Plot Layout'!Q10="",2,'Plot Layout'!Q10+1))</f>
        <v>1.5E-3</v>
      </c>
      <c r="F17">
        <f ca="1">INDIRECT("'Data 16'!F"&amp;IF('Plot Layout'!Q10="",2,'Plot Layout'!Q10+1))</f>
        <v>0.1</v>
      </c>
      <c r="G17">
        <f ca="1">INDIRECT("'Data 16'!G"&amp;IF('Plot Layout'!Q10="",2,'Plot Layout'!Q10+1))</f>
        <v>4</v>
      </c>
      <c r="H17">
        <f ca="1">INDIRECT("'Data 16'!H"&amp;IF('Plot Layout'!Q10="",2,'Plot Layout'!Q10+1))</f>
        <v>0</v>
      </c>
      <c r="I17">
        <f ca="1">INDIRECT("'Data 16'!I"&amp;IF('Plot Layout'!Q10="",2,'Plot Layout'!Q10+1))</f>
        <v>4.5999999999999996</v>
      </c>
      <c r="J17">
        <f ca="1">INDIRECT("'Data 16'!J"&amp;IF('Plot Layout'!Q10="",2,'Plot Layout'!Q10+1))</f>
        <v>9.5</v>
      </c>
      <c r="K17">
        <f ca="1">INDIRECT("'Data 16'!K"&amp;IF('Plot Layout'!Q10="",2,'Plot Layout'!Q10+1))</f>
        <v>22.8</v>
      </c>
      <c r="L17">
        <f ca="1">INDIRECT("'Data 16'!L"&amp;IF('Plot Layout'!Q10="",2,'Plot Layout'!Q10+1))</f>
        <v>15.6</v>
      </c>
      <c r="M17">
        <f ca="1">INDIRECT("'Data 16'!M"&amp;IF('Plot Layout'!Q10="",2,'Plot Layout'!Q10+1))</f>
        <v>0.61799999999999999</v>
      </c>
      <c r="N17">
        <f ca="1">INDIRECT("'Data 16'!N"&amp;IF('Plot Layout'!Q10="",2,'Plot Layout'!Q10+1))</f>
        <v>1.0009999999999999</v>
      </c>
      <c r="O17">
        <f ca="1">INDIRECT("'Data 16'!O"&amp;IF('Plot Layout'!Q10="",2,'Plot Layout'!Q10+1))</f>
        <v>0</v>
      </c>
      <c r="P17">
        <f ca="1">INDIRECT("'Data 16'!P"&amp;IF('Plot Layout'!Q10="",2,'Plot Layout'!Q10+1))</f>
        <v>0</v>
      </c>
      <c r="Q17">
        <f ca="1">INDIRECT("'Data 16'!Q"&amp;IF('Plot Layout'!Q10="",2,'Plot Layout'!Q10+1))</f>
        <v>0.01</v>
      </c>
      <c r="R17">
        <f ca="1">INDIRECT("'Data 16'!R"&amp;IF('Plot Layout'!Q10="",2,'Plot Layout'!Q10+1))</f>
        <v>0</v>
      </c>
      <c r="S17">
        <f ca="1">INDIRECT("'Data 16'!S"&amp;IF('Plot Layout'!Q10="",2,'Plot Layout'!Q10+1))</f>
        <v>0</v>
      </c>
      <c r="T17">
        <f ca="1">INDIRECT("'Data 16'!T"&amp;IF('Plot Layout'!Q10="",2,'Plot Layout'!Q10+1))</f>
        <v>0</v>
      </c>
      <c r="U17">
        <f ca="1">INDIRECT("'Data 16'!U"&amp;IF('Plot Layout'!Q10="",2,'Plot Layout'!Q10+1))</f>
        <v>0</v>
      </c>
      <c r="V17">
        <f ca="1">INDIRECT("'Data 16'!V"&amp;IF('Plot Layout'!Q10="",2,'Plot Layout'!Q10+1))</f>
        <v>0</v>
      </c>
      <c r="W17">
        <f ca="1">INDIRECT("'Data 16'!W"&amp;IF('Plot Layout'!Q10="",2,'Plot Layout'!Q10+1))</f>
        <v>0</v>
      </c>
      <c r="X17">
        <f ca="1">INDIRECT("'Data 16'!X"&amp;IF('Plot Layout'!Q10="",2,'Plot Layout'!Q10+1))</f>
        <v>0</v>
      </c>
      <c r="Y17">
        <f ca="1">INDIRECT("'Data 16'!Y"&amp;IF('Plot Layout'!Q10="",2,'Plot Layout'!Q10+1))</f>
        <v>0</v>
      </c>
      <c r="Z17">
        <f ca="1">INDIRECT("'Data 16'!Z"&amp;IF('Plot Layout'!Q10="",2,'Plot Layout'!Q10+1))</f>
        <v>0</v>
      </c>
      <c r="AA17">
        <f ca="1">INDIRECT("'Data 16'!AA"&amp;IF('Plot Layout'!Q10="",2,'Plot Layout'!Q10+1))</f>
        <v>0</v>
      </c>
      <c r="AB17">
        <f ca="1">INDIRECT("'Data 16'!AB"&amp;IF('Plot Layout'!Q10="",2,'Plot Layout'!Q10+1))</f>
        <v>0</v>
      </c>
      <c r="AC17">
        <f ca="1">INDIRECT("'Data 16'!AC"&amp;IF('Plot Layout'!Q10="",2,'Plot Layout'!Q10+1))</f>
        <v>0</v>
      </c>
      <c r="AD17">
        <f ca="1">INDIRECT("'Data 16'!AD"&amp;IF('Plot Layout'!Q10="",2,'Plot Layout'!Q10+1))</f>
        <v>0</v>
      </c>
      <c r="AE17">
        <f ca="1">INDIRECT("'Data 16'!AE"&amp;IF('Plot Layout'!Q10="",2,'Plot Layout'!Q10+1))</f>
        <v>0</v>
      </c>
      <c r="AF17">
        <f ca="1">INDIRECT("'Data 16'!AF"&amp;IF('Plot Layout'!Q10="",2,'Plot Layout'!Q10+1))</f>
        <v>0</v>
      </c>
      <c r="AG17">
        <f ca="1">INDIRECT("'Data 16'!AG"&amp;IF('Plot Layout'!Q10="",2,'Plot Layout'!Q10+1))</f>
        <v>0</v>
      </c>
      <c r="AH17">
        <f ca="1">INDIRECT("'Data 16'!AH"&amp;IF('Plot Layout'!Q10="",2,'Plot Layout'!Q10+1))</f>
        <v>0</v>
      </c>
      <c r="AI17">
        <f ca="1">INDIRECT("'Data 16'!AI"&amp;IF('Plot Layout'!Q10="",2,'Plot Layout'!Q10+1))</f>
        <v>0</v>
      </c>
      <c r="AJ17">
        <f ca="1">INDIRECT("'Data 16'!AJ"&amp;IF('Plot Layout'!Q10="",2,'Plot Layout'!Q10+1))</f>
        <v>0</v>
      </c>
      <c r="AK17">
        <f ca="1">INDIRECT("'Data 16'!AK"&amp;IF('Plot Layout'!Q10="",2,'Plot Layout'!Q10+1))</f>
        <v>0</v>
      </c>
      <c r="AL17">
        <f ca="1">INDIRECT("'Data 16'!AL"&amp;IF('Plot Layout'!Q10="",2,'Plot Layout'!Q10+1))</f>
        <v>0</v>
      </c>
      <c r="AM17">
        <f ca="1">INDIRECT("'Data 16'!AM"&amp;IF('Plot Layout'!Q10="",2,'Plot Layout'!Q10+1))</f>
        <v>0</v>
      </c>
      <c r="AN17">
        <f ca="1">INDIRECT("'Data 16'!AN"&amp;IF('Plot Layout'!Q10="",2,'Plot Layout'!Q10+1))</f>
        <v>0</v>
      </c>
      <c r="AO17">
        <f ca="1">INDIRECT("'Data 16'!AO"&amp;IF('Plot Layout'!Q10="",2,'Plot Layout'!Q10+1))</f>
        <v>0</v>
      </c>
      <c r="AP17">
        <f ca="1">INDIRECT("'Data 16'!AP"&amp;IF('Plot Layout'!Q10="",2,'Plot Layout'!Q10+1))</f>
        <v>0</v>
      </c>
      <c r="AQ17">
        <f ca="1">INDIRECT("'Data 16'!AQ"&amp;IF('Plot Layout'!Q10="",2,'Plot Layout'!Q10+1))</f>
        <v>0</v>
      </c>
      <c r="AR17">
        <f ca="1">INDIRECT("'Data 16'!AR"&amp;IF('Plot Layout'!Q10="",2,'Plot Layout'!Q10+1))</f>
        <v>0</v>
      </c>
      <c r="AS17">
        <f ca="1">INDIRECT("'Data 16'!AS"&amp;IF('Plot Layout'!Q10="",2,'Plot Layout'!Q10+1))</f>
        <v>0</v>
      </c>
      <c r="AT17">
        <f ca="1">INDIRECT("'Data 16'!AT"&amp;IF('Plot Layout'!Q10="",2,'Plot Layout'!Q10+1))</f>
        <v>0</v>
      </c>
      <c r="AU17">
        <f ca="1">INDIRECT("'Data 16'!AU"&amp;IF('Plot Layout'!Q10="",2,'Plot Layout'!Q10+1))</f>
        <v>0</v>
      </c>
      <c r="AV17">
        <f ca="1">INDIRECT("'Data 16'!AV"&amp;IF('Plot Layout'!Q10="",2,'Plot Layout'!Q10+1))</f>
        <v>0</v>
      </c>
      <c r="AW17">
        <f ca="1">INDIRECT("'Data 16'!AW"&amp;IF('Plot Layout'!Q10="",2,'Plot Layout'!Q10+1))</f>
        <v>0</v>
      </c>
      <c r="AX17">
        <f ca="1">INDIRECT("'Data 16'!AX"&amp;IF('Plot Layout'!Q10="",2,'Plot Layout'!Q10+1))</f>
        <v>0</v>
      </c>
      <c r="AY17">
        <f ca="1">INDIRECT("'Data 16'!AY"&amp;IF('Plot Layout'!Q10="",2,'Plot Layout'!Q10+1))</f>
        <v>0</v>
      </c>
      <c r="AZ17">
        <f ca="1">INDIRECT("'Data 16'!AZ"&amp;IF('Plot Layout'!Q10="",2,'Plot Layout'!Q10+1))</f>
        <v>0</v>
      </c>
      <c r="BA17">
        <f ca="1">INDIRECT("'Data 16'!BA"&amp;IF('Plot Layout'!Q10="",2,'Plot Layout'!Q10+1))</f>
        <v>0</v>
      </c>
      <c r="BB17">
        <f ca="1">INDIRECT("'Data 16'!BB"&amp;IF('Plot Layout'!Q10="",2,'Plot Layout'!Q10+1))</f>
        <v>0</v>
      </c>
      <c r="BC17">
        <f ca="1">INDIRECT("'Data 16'!BC"&amp;IF('Plot Layout'!Q10="",2,'Plot Layout'!Q10+1))</f>
        <v>0</v>
      </c>
      <c r="BD17">
        <f ca="1">INDIRECT("'Data 16'!BD"&amp;IF('Plot Layout'!Q10="",2,'Plot Layout'!Q10+1))</f>
        <v>0</v>
      </c>
      <c r="BE17">
        <f ca="1">INDIRECT("'Data 16'!BE"&amp;IF('Plot Layout'!Q10="",2,'Plot Layout'!Q10+1))</f>
        <v>0</v>
      </c>
      <c r="BF17">
        <f ca="1">INDIRECT("'Data 16'!BF"&amp;IF('Plot Layout'!Q10="",2,'Plot Layout'!Q10+1))</f>
        <v>0</v>
      </c>
      <c r="BG17">
        <f ca="1">INDIRECT("'Data 16'!BG"&amp;IF('Plot Layout'!Q10="",2,'Plot Layout'!Q10+1))</f>
        <v>0</v>
      </c>
      <c r="BH17">
        <f ca="1">INDIRECT("'Data 16'!BH"&amp;IF('Plot Layout'!Q10="",2,'Plot Layout'!Q10+1))</f>
        <v>0</v>
      </c>
      <c r="BI17">
        <f ca="1">INDIRECT("'Data 16'!BI"&amp;IF('Plot Layout'!Q10="",2,'Plot Layout'!Q10+1))</f>
        <v>0</v>
      </c>
      <c r="BJ17">
        <f ca="1">INDIRECT("'Data 16'!BJ"&amp;IF('Plot Layout'!Q10="",2,'Plot Layout'!Q10+1))</f>
        <v>0</v>
      </c>
      <c r="BK17">
        <f ca="1">INDIRECT("'Data 16'!BK"&amp;IF('Plot Layout'!Q10="",2,'Plot Layout'!Q10+1))</f>
        <v>0</v>
      </c>
      <c r="BL17">
        <f ca="1">INDIRECT("'Data 16'!BL"&amp;IF('Plot Layout'!Q10="",2,'Plot Layout'!Q10+1))</f>
        <v>0</v>
      </c>
      <c r="BM17">
        <f ca="1">INDIRECT("'Data 16'!BM"&amp;IF('Plot Layout'!Q10="",2,'Plot Layout'!Q10+1))</f>
        <v>0</v>
      </c>
      <c r="BN17">
        <f ca="1">INDIRECT("'Data 16'!BN"&amp;IF('Plot Layout'!Q10="",2,'Plot Layout'!Q10+1))</f>
        <v>0</v>
      </c>
      <c r="BO17">
        <f ca="1">INDIRECT("'Data 16'!BO"&amp;IF('Plot Layout'!Q10="",2,'Plot Layout'!Q10+1))</f>
        <v>0</v>
      </c>
      <c r="BP17">
        <f ca="1">INDIRECT("'Data 16'!BP"&amp;IF('Plot Layout'!Q10="",2,'Plot Layout'!Q10+1))</f>
        <v>0</v>
      </c>
      <c r="BQ17">
        <f ca="1">INDIRECT("'Data 16'!BQ"&amp;IF('Plot Layout'!Q10="",2,'Plot Layout'!Q10+1))</f>
        <v>0</v>
      </c>
      <c r="BR17">
        <f ca="1">INDIRECT("'Data 16'!BR"&amp;IF('Plot Layout'!Q10="",2,'Plot Layout'!Q10+1))</f>
        <v>0</v>
      </c>
      <c r="BS17">
        <f ca="1">INDIRECT("'Data 16'!BS"&amp;IF('Plot Layout'!Q10="",2,'Plot Layout'!Q10+1))</f>
        <v>0</v>
      </c>
      <c r="BT17">
        <f ca="1">INDIRECT("'Data 16'!BT"&amp;IF('Plot Layout'!Q10="",2,'Plot Layout'!Q10+1))</f>
        <v>0</v>
      </c>
      <c r="BU17">
        <f ca="1">INDIRECT("'Data 16'!BU"&amp;IF('Plot Layout'!Q10="",2,'Plot Layout'!Q10+1))</f>
        <v>0</v>
      </c>
      <c r="BV17">
        <f ca="1">INDIRECT("'Data 16'!BV"&amp;IF('Plot Layout'!Q10="",2,'Plot Layout'!Q10+1))</f>
        <v>0</v>
      </c>
      <c r="BW17">
        <f ca="1">INDIRECT("'Data 16'!BW"&amp;IF('Plot Layout'!Q10="",2,'Plot Layout'!Q10+1))</f>
        <v>0</v>
      </c>
      <c r="BX17">
        <f ca="1">INDIRECT("'Data 16'!BX"&amp;IF('Plot Layout'!Q10="",2,'Plot Layout'!Q10+1))</f>
        <v>0</v>
      </c>
      <c r="BY17">
        <f ca="1">INDIRECT("'Data 16'!BY"&amp;IF('Plot Layout'!Q10="",2,'Plot Layout'!Q10+1))</f>
        <v>0</v>
      </c>
      <c r="BZ17">
        <f ca="1">INDIRECT("'Data 16'!BZ"&amp;IF('Plot Layout'!Q10="",2,'Plot Layout'!Q10+1))</f>
        <v>0</v>
      </c>
      <c r="CA17">
        <f ca="1">INDIRECT("'Data 16'!CA"&amp;IF('Plot Layout'!Q10="",2,'Plot Layout'!Q10+1))</f>
        <v>0</v>
      </c>
      <c r="CB17">
        <f ca="1">INDIRECT("'Data 16'!CB"&amp;IF('Plot Layout'!Q10="",2,'Plot Layout'!Q10+1))</f>
        <v>0</v>
      </c>
      <c r="CC17">
        <f ca="1">INDIRECT("'Data 16'!CC"&amp;IF('Plot Layout'!Q10="",2,'Plot Layout'!Q10+1))</f>
        <v>0</v>
      </c>
      <c r="CD17">
        <f ca="1">INDIRECT("'Data 16'!CD"&amp;IF('Plot Layout'!Q10="",2,'Plot Layout'!Q10+1))</f>
        <v>0</v>
      </c>
      <c r="CE17">
        <f ca="1">INDIRECT("'Data 16'!CE"&amp;IF('Plot Layout'!Q10="",2,'Plot Layout'!Q10+1))</f>
        <v>0</v>
      </c>
      <c r="CF17">
        <f ca="1">INDIRECT("'Data 16'!CF"&amp;IF('Plot Layout'!Q10="",2,'Plot Layout'!Q10+1))</f>
        <v>0</v>
      </c>
      <c r="CG17">
        <f ca="1">INDIRECT("'Data 16'!CG"&amp;IF('Plot Layout'!Q10="",2,'Plot Layout'!Q10+1))</f>
        <v>0</v>
      </c>
      <c r="CH17">
        <f ca="1">INDIRECT("'Data 16'!CH"&amp;IF('Plot Layout'!Q10="",2,'Plot Layout'!Q10+1))</f>
        <v>0</v>
      </c>
      <c r="CI17">
        <f ca="1">INDIRECT("'Data 16'!CI"&amp;IF('Plot Layout'!Q10="",2,'Plot Layout'!Q10+1))</f>
        <v>0</v>
      </c>
      <c r="CJ17">
        <f ca="1">INDIRECT("'Data 16'!CJ"&amp;IF('Plot Layout'!Q10="",2,'Plot Layout'!Q10+1))</f>
        <v>0</v>
      </c>
      <c r="CK17">
        <f ca="1">INDIRECT("'Data 16'!CK"&amp;IF('Plot Layout'!Q10="",2,'Plot Layout'!Q10+1))</f>
        <v>0</v>
      </c>
      <c r="CL17">
        <f ca="1">INDIRECT("'Data 16'!CL"&amp;IF('Plot Layout'!Q10="",2,'Plot Layout'!Q10+1))</f>
        <v>0</v>
      </c>
      <c r="CM17">
        <f ca="1">INDIRECT("'Data 16'!CM"&amp;IF('Plot Layout'!Q10="",2,'Plot Layout'!Q10+1))</f>
        <v>0</v>
      </c>
      <c r="CN17">
        <f ca="1">INDIRECT("'Data 16'!CN"&amp;IF('Plot Layout'!Q10="",2,'Plot Layout'!Q10+1))</f>
        <v>0</v>
      </c>
      <c r="CO17">
        <f ca="1">INDIRECT("'Data 16'!CO"&amp;IF('Plot Layout'!Q10="",2,'Plot Layout'!Q10+1))</f>
        <v>0</v>
      </c>
      <c r="CP17">
        <f ca="1">INDIRECT("'Data 16'!CP"&amp;IF('Plot Layout'!Q10="",2,'Plot Layout'!Q10+1))</f>
        <v>0</v>
      </c>
      <c r="CQ17">
        <f ca="1">INDIRECT("'Data 16'!CQ"&amp;IF('Plot Layout'!Q10="",2,'Plot Layout'!Q10+1))</f>
        <v>0</v>
      </c>
      <c r="CR17">
        <f ca="1">INDIRECT("'Data 16'!CR"&amp;IF('Plot Layout'!Q10="",2,'Plot Layout'!Q10+1))</f>
        <v>0</v>
      </c>
      <c r="CS17">
        <f ca="1">INDIRECT("'Data 16'!CS"&amp;IF('Plot Layout'!Q10="",2,'Plot Layout'!Q10+1))</f>
        <v>0</v>
      </c>
      <c r="CT17">
        <f ca="1">INDIRECT("'Data 16'!CT"&amp;IF('Plot Layout'!Q10="",2,'Plot Layout'!Q10+1))</f>
        <v>0</v>
      </c>
      <c r="CU17">
        <f ca="1">INDIRECT("'Data 16'!CU"&amp;IF('Plot Layout'!Q10="",2,'Plot Layout'!Q10+1))</f>
        <v>0</v>
      </c>
      <c r="CV17">
        <f ca="1">INDIRECT("'Data 16'!CV"&amp;IF('Plot Layout'!Q10="",2,'Plot Layout'!Q10+1))</f>
        <v>0</v>
      </c>
      <c r="CW17">
        <f ca="1">INDIRECT("'Data 16'!CW"&amp;IF('Plot Layout'!Q10="",2,'Plot Layout'!Q10+1))</f>
        <v>0</v>
      </c>
      <c r="CX17">
        <f ca="1">INDIRECT("'Data 16'!CX"&amp;IF('Plot Layout'!Q10="",2,'Plot Layout'!Q10+1))</f>
        <v>0</v>
      </c>
      <c r="CY17">
        <f ca="1">INDIRECT("'Data 16'!CY"&amp;IF('Plot Layout'!Q10="",2,'Plot Layout'!Q10+1))</f>
        <v>0</v>
      </c>
      <c r="CZ17">
        <f ca="1">INDIRECT("'Data 16'!CZ"&amp;IF('Plot Layout'!Q10="",2,'Plot Layout'!Q10+1))</f>
        <v>0</v>
      </c>
      <c r="DA17">
        <f ca="1">INDIRECT("'Data 16'!DA"&amp;IF('Plot Layout'!Q10="",2,'Plot Layout'!Q10+1))</f>
        <v>0</v>
      </c>
      <c r="DB17">
        <f ca="1">INDIRECT("'Data 16'!DB"&amp;IF('Plot Layout'!Q10="",2,'Plot Layout'!Q10+1))</f>
        <v>0</v>
      </c>
      <c r="DC17">
        <f ca="1">INDIRECT("'Data 16'!DC"&amp;IF('Plot Layout'!Q10="",2,'Plot Layout'!Q10+1))</f>
        <v>0</v>
      </c>
      <c r="DD17">
        <f ca="1">INDIRECT("'Data 16'!DD"&amp;IF('Plot Layout'!Q10="",2,'Plot Layout'!Q10+1))</f>
        <v>0</v>
      </c>
      <c r="DE17">
        <f ca="1">INDIRECT("'Data 16'!DE"&amp;IF('Plot Layout'!Q10="",2,'Plot Layout'!Q10+1))</f>
        <v>0</v>
      </c>
      <c r="DF17">
        <f ca="1">INDIRECT("'Data 16'!DF"&amp;IF('Plot Layout'!Q10="",2,'Plot Layout'!Q10+1))</f>
        <v>0</v>
      </c>
      <c r="DG17">
        <f ca="1">INDIRECT("'Data 16'!DG"&amp;IF('Plot Layout'!Q10="",2,'Plot Layout'!Q10+1))</f>
        <v>0</v>
      </c>
      <c r="DH17">
        <f ca="1">INDIRECT("'Data 16'!DH"&amp;IF('Plot Layout'!Q10="",2,'Plot Layout'!Q10+1))</f>
        <v>0</v>
      </c>
      <c r="DI17">
        <f ca="1">INDIRECT("'Data 16'!DI"&amp;IF('Plot Layout'!Q10="",2,'Plot Layout'!Q10+1))</f>
        <v>0</v>
      </c>
      <c r="DJ17">
        <f ca="1">INDIRECT("'Data 16'!DJ"&amp;IF('Plot Layout'!Q10="",2,'Plot Layout'!Q10+1))</f>
        <v>0</v>
      </c>
      <c r="DK17">
        <f ca="1">INDIRECT("'Data 16'!DK"&amp;IF('Plot Layout'!Q10="",2,'Plot Layout'!Q10+1))</f>
        <v>0</v>
      </c>
      <c r="DL17">
        <f ca="1">INDIRECT("'Data 16'!DL"&amp;IF('Plot Layout'!Q10="",2,'Plot Layout'!Q10+1))</f>
        <v>0</v>
      </c>
      <c r="DM17">
        <f ca="1">INDIRECT("'Data 16'!DM"&amp;IF('Plot Layout'!Q10="",2,'Plot Layout'!Q10+1))</f>
        <v>0</v>
      </c>
      <c r="DN17">
        <f ca="1">INDIRECT("'Data 16'!DN"&amp;IF('Plot Layout'!Q10="",2,'Plot Layout'!Q10+1))</f>
        <v>0</v>
      </c>
      <c r="DO17">
        <f ca="1">INDIRECT("'Data 16'!DO"&amp;IF('Plot Layout'!Q10="",2,'Plot Layout'!Q10+1))</f>
        <v>0</v>
      </c>
      <c r="DP17">
        <f ca="1">INDIRECT("'Data 16'!DP"&amp;IF('Plot Layout'!Q10="",2,'Plot Layout'!Q10+1))</f>
        <v>0</v>
      </c>
      <c r="DQ17">
        <f ca="1">INDIRECT("'Data 16'!DQ"&amp;IF('Plot Layout'!Q10="",2,'Plot Layout'!Q10+1))</f>
        <v>0</v>
      </c>
      <c r="DR17">
        <f ca="1">INDIRECT("'Data 16'!DR"&amp;IF('Plot Layout'!Q10="",2,'Plot Layout'!Q10+1))</f>
        <v>0</v>
      </c>
      <c r="DS17">
        <f ca="1">INDIRECT("'Data 16'!DS"&amp;IF('Plot Layout'!Q10="",2,'Plot Layout'!Q10+1))</f>
        <v>0</v>
      </c>
      <c r="DT17">
        <f ca="1">INDIRECT("'Data 16'!DT"&amp;IF('Plot Layout'!Q10="",2,'Plot Layout'!Q10+1))</f>
        <v>0</v>
      </c>
      <c r="DU17">
        <f ca="1">INDIRECT("'Data 16'!DU"&amp;IF('Plot Layout'!Q10="",2,'Plot Layout'!Q10+1))</f>
        <v>0</v>
      </c>
      <c r="DV17">
        <f ca="1">INDIRECT("'Data 16'!DV"&amp;IF('Plot Layout'!Q10="",2,'Plot Layout'!Q10+1))</f>
        <v>0</v>
      </c>
      <c r="DW17">
        <f ca="1">INDIRECT("'Data 16'!DW"&amp;IF('Plot Layout'!Q10="",2,'Plot Layout'!Q10+1))</f>
        <v>0</v>
      </c>
      <c r="DX17">
        <f ca="1">INDIRECT("'Data 16'!DX"&amp;IF('Plot Layout'!Q10="",2,'Plot Layout'!Q10+1))</f>
        <v>0</v>
      </c>
      <c r="DY17">
        <f ca="1">INDIRECT("'Data 16'!DY"&amp;IF('Plot Layout'!Q10="",2,'Plot Layout'!Q10+1))</f>
        <v>0</v>
      </c>
      <c r="DZ17">
        <f ca="1">INDIRECT("'Data 16'!DZ"&amp;IF('Plot Layout'!Q10="",2,'Plot Layout'!Q10+1))</f>
        <v>0</v>
      </c>
      <c r="EA17">
        <f ca="1">INDIRECT("'Data 16'!EA"&amp;IF('Plot Layout'!Q10="",2,'Plot Layout'!Q10+1))</f>
        <v>0</v>
      </c>
      <c r="EB17">
        <f ca="1">INDIRECT("'Data 16'!EB"&amp;IF('Plot Layout'!Q10="",2,'Plot Layout'!Q10+1))</f>
        <v>0</v>
      </c>
      <c r="EC17">
        <f ca="1">INDIRECT("'Data 16'!EC"&amp;IF('Plot Layout'!Q10="",2,'Plot Layout'!Q10+1))</f>
        <v>0</v>
      </c>
      <c r="ED17">
        <f ca="1">INDIRECT("'Data 16'!ED"&amp;IF('Plot Layout'!Q10="",2,'Plot Layout'!Q10+1))</f>
        <v>0</v>
      </c>
      <c r="EE17">
        <f ca="1">INDIRECT("'Data 16'!EE"&amp;IF('Plot Layout'!Q10="",2,'Plot Layout'!Q10+1))</f>
        <v>0</v>
      </c>
      <c r="EF17">
        <f ca="1">INDIRECT("'Data 16'!EF"&amp;IF('Plot Layout'!Q10="",2,'Plot Layout'!Q10+1))</f>
        <v>0</v>
      </c>
      <c r="EG17">
        <f ca="1">INDIRECT("'Data 16'!EG"&amp;IF('Plot Layout'!Q10="",2,'Plot Layout'!Q10+1))</f>
        <v>0</v>
      </c>
      <c r="EH17">
        <f ca="1">INDIRECT("'Data 16'!EH"&amp;IF('Plot Layout'!Q10="",2,'Plot Layout'!Q10+1))</f>
        <v>0</v>
      </c>
      <c r="EI17">
        <f ca="1">INDIRECT("'Data 16'!EI"&amp;IF('Plot Layout'!Q10="",2,'Plot Layout'!Q10+1))</f>
        <v>0</v>
      </c>
      <c r="EJ17">
        <f ca="1">INDIRECT("'Data 16'!EJ"&amp;IF('Plot Layout'!Q10="",2,'Plot Layout'!Q10+1))</f>
        <v>0</v>
      </c>
      <c r="EK17">
        <f ca="1">INDIRECT("'Data 16'!EK"&amp;IF('Plot Layout'!Q10="",2,'Plot Layout'!Q10+1))</f>
        <v>0</v>
      </c>
      <c r="EL17">
        <f ca="1">INDIRECT("'Data 16'!EL"&amp;IF('Plot Layout'!Q10="",2,'Plot Layout'!Q10+1))</f>
        <v>0</v>
      </c>
      <c r="EM17">
        <f ca="1">INDIRECT("'Data 16'!EM"&amp;IF('Plot Layout'!Q10="",2,'Plot Layout'!Q10+1))</f>
        <v>0</v>
      </c>
      <c r="EN17">
        <f ca="1">INDIRECT("'Data 16'!EN"&amp;IF('Plot Layout'!Q10="",2,'Plot Layout'!Q10+1))</f>
        <v>0</v>
      </c>
      <c r="EO17">
        <f ca="1">INDIRECT("'Data 16'!EO"&amp;IF('Plot Layout'!Q10="",2,'Plot Layout'!Q10+1))</f>
        <v>0</v>
      </c>
      <c r="EP17">
        <f ca="1">INDIRECT("'Data 16'!EP"&amp;IF('Plot Layout'!Q10="",2,'Plot Layout'!Q10+1))</f>
        <v>0</v>
      </c>
      <c r="EQ17">
        <f ca="1">INDIRECT("'Data 16'!EQ"&amp;IF('Plot Layout'!Q10="",2,'Plot Layout'!Q10+1))</f>
        <v>0</v>
      </c>
      <c r="ER17">
        <f ca="1">INDIRECT("'Data 16'!ER"&amp;IF('Plot Layout'!Q10="",2,'Plot Layout'!Q10+1))</f>
        <v>0</v>
      </c>
      <c r="ES17">
        <f ca="1">INDIRECT("'Data 16'!ES"&amp;IF('Plot Layout'!Q10="",2,'Plot Layout'!Q10+1))</f>
        <v>0</v>
      </c>
      <c r="ET17">
        <f ca="1">INDIRECT("'Data 16'!ET"&amp;IF('Plot Layout'!Q10="",2,'Plot Layout'!Q10+1))</f>
        <v>0</v>
      </c>
      <c r="EU17">
        <f ca="1">INDIRECT("'Data 16'!EU"&amp;IF('Plot Layout'!Q10="",2,'Plot Layout'!Q10+1))</f>
        <v>0</v>
      </c>
      <c r="EV17">
        <f ca="1">INDIRECT("'Data 16'!EV"&amp;IF('Plot Layout'!Q10="",2,'Plot Layout'!Q10+1))</f>
        <v>0</v>
      </c>
      <c r="EW17">
        <f ca="1">INDIRECT("'Data 16'!EW"&amp;IF('Plot Layout'!Q10="",2,'Plot Layout'!Q10+1))</f>
        <v>0</v>
      </c>
      <c r="EX17">
        <f ca="1">INDIRECT("'Data 16'!EX"&amp;IF('Plot Layout'!Q10="",2,'Plot Layout'!Q10+1))</f>
        <v>0</v>
      </c>
      <c r="EY17">
        <f ca="1">INDIRECT("'Data 16'!EY"&amp;IF('Plot Layout'!Q10="",2,'Plot Layout'!Q10+1))</f>
        <v>0</v>
      </c>
      <c r="EZ17">
        <f ca="1">INDIRECT("'Data 16'!EZ"&amp;IF('Plot Layout'!Q10="",2,'Plot Layout'!Q10+1))</f>
        <v>0</v>
      </c>
      <c r="FA17">
        <f ca="1">INDIRECT("'Data 16'!FA"&amp;IF('Plot Layout'!Q10="",2,'Plot Layout'!Q10+1))</f>
        <v>0</v>
      </c>
      <c r="FB17">
        <f ca="1">INDIRECT("'Data 16'!FB"&amp;IF('Plot Layout'!Q10="",2,'Plot Layout'!Q10+1))</f>
        <v>0</v>
      </c>
      <c r="FC17">
        <f ca="1">INDIRECT("'Data 16'!FC"&amp;IF('Plot Layout'!Q10="",2,'Plot Layout'!Q10+1))</f>
        <v>0</v>
      </c>
      <c r="FD17">
        <f ca="1">INDIRECT("'Data 16'!FD"&amp;IF('Plot Layout'!Q10="",2,'Plot Layout'!Q10+1))</f>
        <v>0</v>
      </c>
      <c r="FE17">
        <f ca="1">INDIRECT("'Data 16'!FE"&amp;IF('Plot Layout'!Q10="",2,'Plot Layout'!Q10+1))</f>
        <v>0</v>
      </c>
      <c r="FF17">
        <f ca="1">INDIRECT("'Data 16'!FF"&amp;IF('Plot Layout'!Q10="",2,'Plot Layout'!Q10+1))</f>
        <v>0</v>
      </c>
      <c r="FG17">
        <f ca="1">INDIRECT("'Data 16'!FG"&amp;IF('Plot Layout'!Q10="",2,'Plot Layout'!Q10+1))</f>
        <v>0</v>
      </c>
      <c r="FH17">
        <f ca="1">INDIRECT("'Data 16'!FH"&amp;IF('Plot Layout'!Q10="",2,'Plot Layout'!Q10+1))</f>
        <v>0</v>
      </c>
      <c r="FI17">
        <f ca="1">INDIRECT("'Data 16'!FI"&amp;IF('Plot Layout'!Q10="",2,'Plot Layout'!Q10+1))</f>
        <v>0</v>
      </c>
      <c r="FJ17">
        <f ca="1">INDIRECT("'Data 16'!FJ"&amp;IF('Plot Layout'!Q10="",2,'Plot Layout'!Q10+1))</f>
        <v>0</v>
      </c>
      <c r="FK17">
        <f ca="1">INDIRECT("'Data 16'!FK"&amp;IF('Plot Layout'!Q10="",2,'Plot Layout'!Q10+1))</f>
        <v>0</v>
      </c>
      <c r="FL17">
        <f ca="1">INDIRECT("'Data 16'!FL"&amp;IF('Plot Layout'!Q10="",2,'Plot Layout'!Q10+1))</f>
        <v>0</v>
      </c>
      <c r="FM17">
        <f ca="1">INDIRECT("'Data 16'!FM"&amp;IF('Plot Layout'!Q10="",2,'Plot Layout'!Q10+1))</f>
        <v>0</v>
      </c>
      <c r="FN17">
        <f ca="1">INDIRECT("'Data 16'!FN"&amp;IF('Plot Layout'!Q10="",2,'Plot Layout'!Q10+1))</f>
        <v>0</v>
      </c>
      <c r="FO17">
        <f ca="1">INDIRECT("'Data 16'!FO"&amp;IF('Plot Layout'!Q10="",2,'Plot Layout'!Q10+1))</f>
        <v>0</v>
      </c>
      <c r="FP17">
        <f ca="1">INDIRECT("'Data 16'!FP"&amp;IF('Plot Layout'!Q10="",2,'Plot Layout'!Q10+1))</f>
        <v>0</v>
      </c>
      <c r="FQ17">
        <f ca="1">INDIRECT("'Data 16'!FQ"&amp;IF('Plot Layout'!Q10="",2,'Plot Layout'!Q10+1))</f>
        <v>0</v>
      </c>
      <c r="FR17">
        <f ca="1">INDIRECT("'Data 16'!FR"&amp;IF('Plot Layout'!Q10="",2,'Plot Layout'!Q10+1))</f>
        <v>0</v>
      </c>
      <c r="FS17">
        <f ca="1">INDIRECT("'Data 16'!FS"&amp;IF('Plot Layout'!Q10="",2,'Plot Layout'!Q10+1))</f>
        <v>0</v>
      </c>
      <c r="FT17">
        <f ca="1">INDIRECT("'Data 16'!FT"&amp;IF('Plot Layout'!Q10="",2,'Plot Layout'!Q10+1))</f>
        <v>0</v>
      </c>
      <c r="FU17">
        <f ca="1">INDIRECT("'Data 16'!FU"&amp;IF('Plot Layout'!Q10="",2,'Plot Layout'!Q10+1))</f>
        <v>0</v>
      </c>
      <c r="FV17">
        <f ca="1">INDIRECT("'Data 16'!FV"&amp;IF('Plot Layout'!Q10="",2,'Plot Layout'!Q10+1))</f>
        <v>0</v>
      </c>
      <c r="FW17">
        <f ca="1">INDIRECT("'Data 16'!FW"&amp;IF('Plot Layout'!Q10="",2,'Plot Layout'!Q10+1))</f>
        <v>0</v>
      </c>
      <c r="FX17">
        <f ca="1">INDIRECT("'Data 16'!FX"&amp;IF('Plot Layout'!Q10="",2,'Plot Layout'!Q10+1))</f>
        <v>0</v>
      </c>
      <c r="FY17">
        <f ca="1">INDIRECT("'Data 16'!FY"&amp;IF('Plot Layout'!Q10="",2,'Plot Layout'!Q10+1))</f>
        <v>0</v>
      </c>
      <c r="FZ17">
        <f ca="1">INDIRECT("'Data 16'!FZ"&amp;IF('Plot Layout'!Q10="",2,'Plot Layout'!Q10+1))</f>
        <v>0</v>
      </c>
      <c r="GA17">
        <f ca="1">INDIRECT("'Data 16'!GA"&amp;IF('Plot Layout'!Q10="",2,'Plot Layout'!Q10+1))</f>
        <v>0</v>
      </c>
      <c r="GB17">
        <f ca="1">INDIRECT("'Data 16'!GB"&amp;IF('Plot Layout'!Q10="",2,'Plot Layout'!Q10+1))</f>
        <v>0</v>
      </c>
      <c r="GC17">
        <f ca="1">INDIRECT("'Data 16'!GC"&amp;IF('Plot Layout'!Q10="",2,'Plot Layout'!Q10+1))</f>
        <v>0</v>
      </c>
      <c r="GD17">
        <f ca="1">INDIRECT("'Data 16'!GD"&amp;IF('Plot Layout'!Q10="",2,'Plot Layout'!Q10+1))</f>
        <v>0</v>
      </c>
      <c r="GE17">
        <f ca="1">INDIRECT("'Data 16'!GE"&amp;IF('Plot Layout'!Q10="",2,'Plot Layout'!Q10+1))</f>
        <v>0</v>
      </c>
      <c r="GF17">
        <f ca="1">INDIRECT("'Data 16'!GF"&amp;IF('Plot Layout'!Q10="",2,'Plot Layout'!Q10+1))</f>
        <v>0</v>
      </c>
      <c r="GG17">
        <f ca="1">INDIRECT("'Data 16'!GG"&amp;IF('Plot Layout'!Q10="",2,'Plot Layout'!Q10+1))</f>
        <v>0</v>
      </c>
      <c r="GH17">
        <f ca="1">INDIRECT("'Data 16'!GH"&amp;IF('Plot Layout'!Q10="",2,'Plot Layout'!Q10+1))</f>
        <v>0</v>
      </c>
      <c r="GI17">
        <f ca="1">INDIRECT("'Data 16'!GI"&amp;IF('Plot Layout'!Q10="",2,'Plot Layout'!Q10+1))</f>
        <v>0</v>
      </c>
      <c r="GJ17">
        <f ca="1">INDIRECT("'Data 16'!GJ"&amp;IF('Plot Layout'!Q10="",2,'Plot Layout'!Q10+1))</f>
        <v>0</v>
      </c>
      <c r="GK17">
        <f ca="1">INDIRECT("'Data 16'!GK"&amp;IF('Plot Layout'!Q10="",2,'Plot Layout'!Q10+1))</f>
        <v>0</v>
      </c>
      <c r="GL17">
        <f ca="1">INDIRECT("'Data 16'!GL"&amp;IF('Plot Layout'!Q10="",2,'Plot Layout'!Q10+1))</f>
        <v>0</v>
      </c>
      <c r="GM17">
        <f ca="1">INDIRECT("'Data 16'!GM"&amp;IF('Plot Layout'!Q10="",2,'Plot Layout'!Q10+1))</f>
        <v>0</v>
      </c>
      <c r="GN17">
        <f ca="1">INDIRECT("'Data 16'!GN"&amp;IF('Plot Layout'!Q10="",2,'Plot Layout'!Q10+1))</f>
        <v>0</v>
      </c>
      <c r="GO17">
        <f ca="1">INDIRECT("'Data 16'!GO"&amp;IF('Plot Layout'!Q10="",2,'Plot Layout'!Q10+1))</f>
        <v>0</v>
      </c>
      <c r="GP17">
        <f ca="1">INDIRECT("'Data 16'!GP"&amp;IF('Plot Layout'!Q10="",2,'Plot Layout'!Q10+1))</f>
        <v>0</v>
      </c>
      <c r="GQ17">
        <f ca="1">INDIRECT("'Data 16'!GQ"&amp;IF('Plot Layout'!Q10="",2,'Plot Layout'!Q10+1))</f>
        <v>0</v>
      </c>
      <c r="GR17">
        <f ca="1">INDIRECT("'Data 16'!GR"&amp;IF('Plot Layout'!Q10="",2,'Plot Layout'!Q10+1))</f>
        <v>0</v>
      </c>
      <c r="GS17">
        <f ca="1">INDIRECT("'Data 16'!GS"&amp;IF('Plot Layout'!Q10="",2,'Plot Layout'!Q10+1))</f>
        <v>0</v>
      </c>
      <c r="GT17">
        <f ca="1">INDIRECT("'Data 16'!GT"&amp;IF('Plot Layout'!Q10="",2,'Plot Layout'!Q10+1))</f>
        <v>0</v>
      </c>
      <c r="GU17">
        <f ca="1">INDIRECT("'Data 16'!GU"&amp;IF('Plot Layout'!Q10="",2,'Plot Layout'!Q10+1))</f>
        <v>0</v>
      </c>
      <c r="GV17">
        <f ca="1">INDIRECT("'Data 16'!GV"&amp;IF('Plot Layout'!Q10="",2,'Plot Layout'!Q10+1))</f>
        <v>0</v>
      </c>
      <c r="GW17">
        <f ca="1">INDIRECT("'Data 16'!GW"&amp;IF('Plot Layout'!Q10="",2,'Plot Layout'!Q10+1))</f>
        <v>0</v>
      </c>
      <c r="GX17">
        <f ca="1">INDIRECT("'Data 16'!GX"&amp;IF('Plot Layout'!Q10="",2,'Plot Layout'!Q10+1))</f>
        <v>0</v>
      </c>
      <c r="GY17">
        <f ca="1">INDIRECT("'Data 16'!GY"&amp;IF('Plot Layout'!Q10="",2,'Plot Layout'!Q10+1))</f>
        <v>0</v>
      </c>
      <c r="GZ17">
        <f ca="1">INDIRECT("'Data 16'!GZ"&amp;IF('Plot Layout'!Q10="",2,'Plot Layout'!Q10+1))</f>
        <v>0</v>
      </c>
      <c r="HA17">
        <f ca="1">INDIRECT("'Data 16'!HA"&amp;IF('Plot Layout'!Q10="",2,'Plot Layout'!Q10+1))</f>
        <v>0</v>
      </c>
      <c r="HB17">
        <f ca="1">INDIRECT("'Data 16'!HB"&amp;IF('Plot Layout'!Q10="",2,'Plot Layout'!Q10+1))</f>
        <v>0</v>
      </c>
      <c r="HC17">
        <f ca="1">INDIRECT("'Data 16'!HC"&amp;IF('Plot Layout'!Q10="",2,'Plot Layout'!Q10+1))</f>
        <v>0</v>
      </c>
      <c r="HD17">
        <f ca="1">INDIRECT("'Data 16'!HD"&amp;IF('Plot Layout'!Q10="",2,'Plot Layout'!Q10+1))</f>
        <v>0</v>
      </c>
      <c r="HE17">
        <f ca="1">INDIRECT("'Data 16'!HE"&amp;IF('Plot Layout'!Q10="",2,'Plot Layout'!Q10+1))</f>
        <v>0</v>
      </c>
      <c r="HF17">
        <f ca="1">INDIRECT("'Data 16'!HF"&amp;IF('Plot Layout'!Q10="",2,'Plot Layout'!Q10+1))</f>
        <v>0</v>
      </c>
      <c r="HG17">
        <f ca="1">INDIRECT("'Data 16'!HG"&amp;IF('Plot Layout'!Q10="",2,'Plot Layout'!Q10+1))</f>
        <v>0</v>
      </c>
      <c r="HH17">
        <f ca="1">INDIRECT("'Data 16'!HH"&amp;IF('Plot Layout'!Q10="",2,'Plot Layout'!Q10+1))</f>
        <v>0</v>
      </c>
      <c r="HI17">
        <f ca="1">INDIRECT("'Data 16'!HI"&amp;IF('Plot Layout'!Q10="",2,'Plot Layout'!Q10+1))</f>
        <v>0</v>
      </c>
      <c r="HJ17">
        <f ca="1">INDIRECT("'Data 16'!HJ"&amp;IF('Plot Layout'!Q10="",2,'Plot Layout'!Q10+1))</f>
        <v>0</v>
      </c>
      <c r="HK17">
        <f ca="1">INDIRECT("'Data 16'!HK"&amp;IF('Plot Layout'!Q10="",2,'Plot Layout'!Q10+1))</f>
        <v>0</v>
      </c>
      <c r="HL17">
        <f ca="1">INDIRECT("'Data 16'!HL"&amp;IF('Plot Layout'!Q10="",2,'Plot Layout'!Q10+1))</f>
        <v>0</v>
      </c>
      <c r="HM17">
        <f ca="1">INDIRECT("'Data 16'!HM"&amp;IF('Plot Layout'!Q10="",2,'Plot Layout'!Q10+1))</f>
        <v>0</v>
      </c>
      <c r="HN17">
        <f ca="1">INDIRECT("'Data 16'!HN"&amp;IF('Plot Layout'!Q10="",2,'Plot Layout'!Q10+1))</f>
        <v>0</v>
      </c>
      <c r="HO17">
        <f ca="1">INDIRECT("'Data 16'!HO"&amp;IF('Plot Layout'!Q10="",2,'Plot Layout'!Q10+1))</f>
        <v>0</v>
      </c>
      <c r="HP17">
        <f ca="1">INDIRECT("'Data 16'!HP"&amp;IF('Plot Layout'!Q10="",2,'Plot Layout'!Q10+1))</f>
        <v>0</v>
      </c>
      <c r="HQ17">
        <f ca="1">INDIRECT("'Data 16'!HQ"&amp;IF('Plot Layout'!Q10="",2,'Plot Layout'!Q10+1))</f>
        <v>0</v>
      </c>
      <c r="HR17">
        <f ca="1">INDIRECT("'Data 16'!HR"&amp;IF('Plot Layout'!Q10="",2,'Plot Layout'!Q10+1))</f>
        <v>0</v>
      </c>
      <c r="HS17">
        <f ca="1">INDIRECT("'Data 16'!HS"&amp;IF('Plot Layout'!Q10="",2,'Plot Layout'!Q10+1))</f>
        <v>0</v>
      </c>
      <c r="HT17">
        <f ca="1">INDIRECT("'Data 16'!HT"&amp;IF('Plot Layout'!Q10="",2,'Plot Layout'!Q10+1))</f>
        <v>0</v>
      </c>
      <c r="HU17">
        <f ca="1">INDIRECT("'Data 16'!HU"&amp;IF('Plot Layout'!Q10="",2,'Plot Layout'!Q10+1))</f>
        <v>0</v>
      </c>
      <c r="HV17">
        <f ca="1">INDIRECT("'Data 16'!HV"&amp;IF('Plot Layout'!Q10="",2,'Plot Layout'!Q10+1))</f>
        <v>0</v>
      </c>
      <c r="HW17">
        <f ca="1">INDIRECT("'Data 16'!HW"&amp;IF('Plot Layout'!Q10="",2,'Plot Layout'!Q10+1))</f>
        <v>0</v>
      </c>
      <c r="HX17">
        <f ca="1">INDIRECT("'Data 16'!HX"&amp;IF('Plot Layout'!Q10="",2,'Plot Layout'!Q10+1))</f>
        <v>0</v>
      </c>
      <c r="HY17">
        <f ca="1">INDIRECT("'Data 16'!HY"&amp;IF('Plot Layout'!Q10="",2,'Plot Layout'!Q10+1))</f>
        <v>0</v>
      </c>
      <c r="HZ17">
        <f ca="1">INDIRECT("'Data 16'!HZ"&amp;IF('Plot Layout'!Q10="",2,'Plot Layout'!Q10+1))</f>
        <v>0</v>
      </c>
      <c r="IA17">
        <f ca="1">INDIRECT("'Data 16'!IA"&amp;IF('Plot Layout'!Q10="",2,'Plot Layout'!Q10+1))</f>
        <v>0</v>
      </c>
      <c r="IB17">
        <f ca="1">INDIRECT("'Data 16'!IB"&amp;IF('Plot Layout'!Q10="",2,'Plot Layout'!Q10+1))</f>
        <v>0</v>
      </c>
      <c r="IC17">
        <f ca="1">INDIRECT("'Data 16'!IC"&amp;IF('Plot Layout'!Q10="",2,'Plot Layout'!Q10+1))</f>
        <v>0</v>
      </c>
      <c r="ID17">
        <f ca="1">INDIRECT("'Data 16'!ID"&amp;IF('Plot Layout'!Q10="",2,'Plot Layout'!Q10+1))</f>
        <v>0</v>
      </c>
      <c r="IE17">
        <f ca="1">INDIRECT("'Data 16'!IE"&amp;IF('Plot Layout'!Q10="",2,'Plot Layout'!Q10+1))</f>
        <v>0</v>
      </c>
      <c r="IF17">
        <f ca="1">INDIRECT("'Data 16'!IF"&amp;IF('Plot Layout'!Q10="",2,'Plot Layout'!Q10+1))</f>
        <v>0</v>
      </c>
      <c r="IG17">
        <f ca="1">INDIRECT("'Data 16'!IG"&amp;IF('Plot Layout'!Q10="",2,'Plot Layout'!Q10+1))</f>
        <v>0</v>
      </c>
      <c r="IH17">
        <f ca="1">INDIRECT("'Data 16'!IH"&amp;IF('Plot Layout'!Q10="",2,'Plot Layout'!Q10+1))</f>
        <v>0</v>
      </c>
      <c r="II17">
        <f ca="1">INDIRECT("'Data 16'!II"&amp;IF('Plot Layout'!Q10="",2,'Plot Layout'!Q10+1))</f>
        <v>0</v>
      </c>
      <c r="IJ17">
        <f ca="1">INDIRECT("'Data 16'!IJ"&amp;IF('Plot Layout'!Q10="",2,'Plot Layout'!Q10+1))</f>
        <v>0</v>
      </c>
      <c r="IK17">
        <f ca="1">INDIRECT("'Data 16'!IK"&amp;IF('Plot Layout'!Q10="",2,'Plot Layout'!Q10+1))</f>
        <v>0</v>
      </c>
      <c r="IL17">
        <f ca="1">INDIRECT("'Data 16'!IL"&amp;IF('Plot Layout'!Q10="",2,'Plot Layout'!Q10+1))</f>
        <v>0</v>
      </c>
      <c r="IM17">
        <f ca="1">INDIRECT("'Data 16'!IM"&amp;IF('Plot Layout'!Q10="",2,'Plot Layout'!Q10+1))</f>
        <v>0</v>
      </c>
      <c r="IN17">
        <f ca="1">INDIRECT("'Data 16'!IN"&amp;IF('Plot Layout'!Q10="",2,'Plot Layout'!Q10+1))</f>
        <v>0</v>
      </c>
      <c r="IO17">
        <f ca="1">INDIRECT("'Data 16'!IO"&amp;IF('Plot Layout'!Q10="",2,'Plot Layout'!Q10+1))</f>
        <v>0</v>
      </c>
      <c r="IP17">
        <f ca="1">INDIRECT("'Data 16'!IP"&amp;IF('Plot Layout'!Q10="",2,'Plot Layout'!Q10+1))</f>
        <v>0</v>
      </c>
      <c r="IQ17">
        <f ca="1">INDIRECT("'Data 16'!IQ"&amp;IF('Plot Layout'!Q10="",2,'Plot Layout'!Q10+1))</f>
        <v>0</v>
      </c>
      <c r="IR17">
        <f ca="1">INDIRECT("'Data 16'!IR"&amp;IF('Plot Layout'!Q10="",2,'Plot Layout'!Q10+1))</f>
        <v>0</v>
      </c>
      <c r="IS17">
        <f ca="1">INDIRECT("'Data 16'!IS"&amp;IF('Plot Layout'!Q10="",2,'Plot Layout'!Q10+1))</f>
        <v>0</v>
      </c>
      <c r="IT17">
        <f ca="1">INDIRECT("'Data 16'!IT"&amp;IF('Plot Layout'!Q10="",2,'Plot Layout'!Q10+1))</f>
        <v>0</v>
      </c>
      <c r="IU17">
        <f ca="1">INDIRECT("'Data 16'!IU"&amp;IF('Plot Layout'!Q10="",2,'Plot Layout'!Q10+1))</f>
        <v>0</v>
      </c>
      <c r="IV17">
        <f ca="1">INDIRECT("'Data 16'!IV"&amp;IF('Plot Layout'!Q10="",2,'Plot Layout'!Q10+1))</f>
        <v>0</v>
      </c>
    </row>
    <row r="18" spans="1:256">
      <c r="A18">
        <f ca="1">INDIRECT("'Data 17'!A"&amp;IF('Plot Layout'!R10="",2,'Plot Layout'!R10+1))</f>
        <v>0</v>
      </c>
      <c r="B18">
        <f ca="1">INDIRECT("'Data 17'!B"&amp;IF('Plot Layout'!R10="",2,'Plot Layout'!R10+1))</f>
        <v>1E-3</v>
      </c>
      <c r="C18" t="str">
        <f ca="1">INDIRECT("'Data 17'!C"&amp;IF('Plot Layout'!R10="",2,'Plot Layout'!R10+1))</f>
        <v>65-006</v>
      </c>
      <c r="D18">
        <f ca="1">INDIRECT("'Data 17'!D"&amp;IF('Plot Layout'!R10="",2,'Plot Layout'!R10+1))</f>
        <v>2.3999999999999998E-3</v>
      </c>
      <c r="E18">
        <f ca="1">INDIRECT("'Data 17'!E"&amp;IF('Plot Layout'!R10="",2,'Plot Layout'!R10+1))</f>
        <v>1E-4</v>
      </c>
      <c r="F18">
        <f ca="1">INDIRECT("'Data 17'!F"&amp;IF('Plot Layout'!R10="",2,'Plot Layout'!R10+1))</f>
        <v>0.06</v>
      </c>
      <c r="G18">
        <f ca="1">INDIRECT("'Data 17'!G"&amp;IF('Plot Layout'!R10="",2,'Plot Layout'!R10+1))</f>
        <v>0</v>
      </c>
      <c r="H18">
        <f ca="1">INDIRECT("'Data 17'!H"&amp;IF('Plot Layout'!R10="",2,'Plot Layout'!R10+1))</f>
        <v>0</v>
      </c>
      <c r="I18">
        <f ca="1">INDIRECT("'Data 17'!I"&amp;IF('Plot Layout'!R10="",2,'Plot Layout'!R10+1))</f>
        <v>0</v>
      </c>
      <c r="J18">
        <f ca="1">INDIRECT("'Data 17'!J"&amp;IF('Plot Layout'!R10="",2,'Plot Layout'!R10+1))</f>
        <v>0</v>
      </c>
      <c r="K18">
        <f ca="1">INDIRECT("'Data 17'!K"&amp;IF('Plot Layout'!R10="",2,'Plot Layout'!R10+1))</f>
        <v>13.4</v>
      </c>
      <c r="L18">
        <f ca="1">INDIRECT("'Data 17'!L"&amp;IF('Plot Layout'!R10="",2,'Plot Layout'!R10+1))</f>
        <v>9.1</v>
      </c>
      <c r="M18">
        <f ca="1">INDIRECT("'Data 17'!M"&amp;IF('Plot Layout'!R10="",2,'Plot Layout'!R10+1))</f>
        <v>1</v>
      </c>
      <c r="N18">
        <f ca="1">INDIRECT("'Data 17'!N"&amp;IF('Plot Layout'!R10="",2,'Plot Layout'!R10+1))</f>
        <v>1</v>
      </c>
      <c r="O18">
        <f ca="1">INDIRECT("'Data 17'!O"&amp;IF('Plot Layout'!R10="",2,'Plot Layout'!R10+1))</f>
        <v>-4</v>
      </c>
      <c r="P18">
        <f ca="1">INDIRECT("'Data 17'!P"&amp;IF('Plot Layout'!R10="",2,'Plot Layout'!R10+1))</f>
        <v>0</v>
      </c>
      <c r="Q18">
        <f ca="1">INDIRECT("'Data 17'!Q"&amp;IF('Plot Layout'!R10="",2,'Plot Layout'!R10+1))</f>
        <v>8.9999999999999993E-3</v>
      </c>
      <c r="R18">
        <f ca="1">INDIRECT("'Data 17'!R"&amp;IF('Plot Layout'!R10="",2,'Plot Layout'!R10+1))</f>
        <v>0</v>
      </c>
      <c r="S18">
        <f ca="1">INDIRECT("'Data 17'!S"&amp;IF('Plot Layout'!R10="",2,'Plot Layout'!R10+1))</f>
        <v>0</v>
      </c>
      <c r="T18">
        <f ca="1">INDIRECT("'Data 17'!T"&amp;IF('Plot Layout'!R10="",2,'Plot Layout'!R10+1))</f>
        <v>0</v>
      </c>
      <c r="U18">
        <f ca="1">INDIRECT("'Data 17'!U"&amp;IF('Plot Layout'!R10="",2,'Plot Layout'!R10+1))</f>
        <v>0</v>
      </c>
      <c r="V18">
        <f ca="1">INDIRECT("'Data 17'!V"&amp;IF('Plot Layout'!R10="",2,'Plot Layout'!R10+1))</f>
        <v>0</v>
      </c>
      <c r="W18">
        <f ca="1">INDIRECT("'Data 17'!W"&amp;IF('Plot Layout'!R10="",2,'Plot Layout'!R10+1))</f>
        <v>0</v>
      </c>
      <c r="X18">
        <f ca="1">INDIRECT("'Data 17'!X"&amp;IF('Plot Layout'!R10="",2,'Plot Layout'!R10+1))</f>
        <v>0</v>
      </c>
      <c r="Y18">
        <f ca="1">INDIRECT("'Data 17'!Y"&amp;IF('Plot Layout'!R10="",2,'Plot Layout'!R10+1))</f>
        <v>0</v>
      </c>
      <c r="Z18">
        <f ca="1">INDIRECT("'Data 17'!Z"&amp;IF('Plot Layout'!R10="",2,'Plot Layout'!R10+1))</f>
        <v>0</v>
      </c>
      <c r="AA18">
        <f ca="1">INDIRECT("'Data 17'!AA"&amp;IF('Plot Layout'!R10="",2,'Plot Layout'!R10+1))</f>
        <v>0</v>
      </c>
      <c r="AB18">
        <f ca="1">INDIRECT("'Data 17'!AB"&amp;IF('Plot Layout'!R10="",2,'Plot Layout'!R10+1))</f>
        <v>0</v>
      </c>
      <c r="AC18">
        <f ca="1">INDIRECT("'Data 17'!AC"&amp;IF('Plot Layout'!R10="",2,'Plot Layout'!R10+1))</f>
        <v>0</v>
      </c>
      <c r="AD18">
        <f ca="1">INDIRECT("'Data 17'!AD"&amp;IF('Plot Layout'!R10="",2,'Plot Layout'!R10+1))</f>
        <v>0</v>
      </c>
      <c r="AE18">
        <f ca="1">INDIRECT("'Data 17'!AE"&amp;IF('Plot Layout'!R10="",2,'Plot Layout'!R10+1))</f>
        <v>0</v>
      </c>
      <c r="AF18">
        <f ca="1">INDIRECT("'Data 17'!AF"&amp;IF('Plot Layout'!R10="",2,'Plot Layout'!R10+1))</f>
        <v>0</v>
      </c>
      <c r="AG18">
        <f ca="1">INDIRECT("'Data 17'!AG"&amp;IF('Plot Layout'!R10="",2,'Plot Layout'!R10+1))</f>
        <v>0</v>
      </c>
      <c r="AH18">
        <f ca="1">INDIRECT("'Data 17'!AH"&amp;IF('Plot Layout'!R10="",2,'Plot Layout'!R10+1))</f>
        <v>0</v>
      </c>
      <c r="AI18">
        <f ca="1">INDIRECT("'Data 17'!AI"&amp;IF('Plot Layout'!R10="",2,'Plot Layout'!R10+1))</f>
        <v>0</v>
      </c>
      <c r="AJ18">
        <f ca="1">INDIRECT("'Data 17'!AJ"&amp;IF('Plot Layout'!R10="",2,'Plot Layout'!R10+1))</f>
        <v>0</v>
      </c>
      <c r="AK18">
        <f ca="1">INDIRECT("'Data 17'!AK"&amp;IF('Plot Layout'!R10="",2,'Plot Layout'!R10+1))</f>
        <v>0</v>
      </c>
      <c r="AL18">
        <f ca="1">INDIRECT("'Data 17'!AL"&amp;IF('Plot Layout'!R10="",2,'Plot Layout'!R10+1))</f>
        <v>0</v>
      </c>
      <c r="AM18">
        <f ca="1">INDIRECT("'Data 17'!AM"&amp;IF('Plot Layout'!R10="",2,'Plot Layout'!R10+1))</f>
        <v>0</v>
      </c>
      <c r="AN18">
        <f ca="1">INDIRECT("'Data 17'!AN"&amp;IF('Plot Layout'!R10="",2,'Plot Layout'!R10+1))</f>
        <v>0</v>
      </c>
      <c r="AO18">
        <f ca="1">INDIRECT("'Data 17'!AO"&amp;IF('Plot Layout'!R10="",2,'Plot Layout'!R10+1))</f>
        <v>0</v>
      </c>
      <c r="AP18">
        <f ca="1">INDIRECT("'Data 17'!AP"&amp;IF('Plot Layout'!R10="",2,'Plot Layout'!R10+1))</f>
        <v>0</v>
      </c>
      <c r="AQ18">
        <f ca="1">INDIRECT("'Data 17'!AQ"&amp;IF('Plot Layout'!R10="",2,'Plot Layout'!R10+1))</f>
        <v>0</v>
      </c>
      <c r="AR18">
        <f ca="1">INDIRECT("'Data 17'!AR"&amp;IF('Plot Layout'!R10="",2,'Plot Layout'!R10+1))</f>
        <v>0</v>
      </c>
      <c r="AS18">
        <f ca="1">INDIRECT("'Data 17'!AS"&amp;IF('Plot Layout'!R10="",2,'Plot Layout'!R10+1))</f>
        <v>0</v>
      </c>
      <c r="AT18">
        <f ca="1">INDIRECT("'Data 17'!AT"&amp;IF('Plot Layout'!R10="",2,'Plot Layout'!R10+1))</f>
        <v>0</v>
      </c>
      <c r="AU18">
        <f ca="1">INDIRECT("'Data 17'!AU"&amp;IF('Plot Layout'!R10="",2,'Plot Layout'!R10+1))</f>
        <v>0</v>
      </c>
      <c r="AV18">
        <f ca="1">INDIRECT("'Data 17'!AV"&amp;IF('Plot Layout'!R10="",2,'Plot Layout'!R10+1))</f>
        <v>0</v>
      </c>
      <c r="AW18">
        <f ca="1">INDIRECT("'Data 17'!AW"&amp;IF('Plot Layout'!R10="",2,'Plot Layout'!R10+1))</f>
        <v>0</v>
      </c>
      <c r="AX18">
        <f ca="1">INDIRECT("'Data 17'!AX"&amp;IF('Plot Layout'!R10="",2,'Plot Layout'!R10+1))</f>
        <v>0</v>
      </c>
      <c r="AY18">
        <f ca="1">INDIRECT("'Data 17'!AY"&amp;IF('Plot Layout'!R10="",2,'Plot Layout'!R10+1))</f>
        <v>0</v>
      </c>
      <c r="AZ18">
        <f ca="1">INDIRECT("'Data 17'!AZ"&amp;IF('Plot Layout'!R10="",2,'Plot Layout'!R10+1))</f>
        <v>0</v>
      </c>
      <c r="BA18">
        <f ca="1">INDIRECT("'Data 17'!BA"&amp;IF('Plot Layout'!R10="",2,'Plot Layout'!R10+1))</f>
        <v>0</v>
      </c>
      <c r="BB18">
        <f ca="1">INDIRECT("'Data 17'!BB"&amp;IF('Plot Layout'!R10="",2,'Plot Layout'!R10+1))</f>
        <v>0</v>
      </c>
      <c r="BC18">
        <f ca="1">INDIRECT("'Data 17'!BC"&amp;IF('Plot Layout'!R10="",2,'Plot Layout'!R10+1))</f>
        <v>0</v>
      </c>
      <c r="BD18">
        <f ca="1">INDIRECT("'Data 17'!BD"&amp;IF('Plot Layout'!R10="",2,'Plot Layout'!R10+1))</f>
        <v>0</v>
      </c>
      <c r="BE18">
        <f ca="1">INDIRECT("'Data 17'!BE"&amp;IF('Plot Layout'!R10="",2,'Plot Layout'!R10+1))</f>
        <v>0</v>
      </c>
      <c r="BF18">
        <f ca="1">INDIRECT("'Data 17'!BF"&amp;IF('Plot Layout'!R10="",2,'Plot Layout'!R10+1))</f>
        <v>0</v>
      </c>
      <c r="BG18">
        <f ca="1">INDIRECT("'Data 17'!BG"&amp;IF('Plot Layout'!R10="",2,'Plot Layout'!R10+1))</f>
        <v>0</v>
      </c>
      <c r="BH18">
        <f ca="1">INDIRECT("'Data 17'!BH"&amp;IF('Plot Layout'!R10="",2,'Plot Layout'!R10+1))</f>
        <v>0</v>
      </c>
      <c r="BI18">
        <f ca="1">INDIRECT("'Data 17'!BI"&amp;IF('Plot Layout'!R10="",2,'Plot Layout'!R10+1))</f>
        <v>0</v>
      </c>
      <c r="BJ18">
        <f ca="1">INDIRECT("'Data 17'!BJ"&amp;IF('Plot Layout'!R10="",2,'Plot Layout'!R10+1))</f>
        <v>0</v>
      </c>
      <c r="BK18">
        <f ca="1">INDIRECT("'Data 17'!BK"&amp;IF('Plot Layout'!R10="",2,'Plot Layout'!R10+1))</f>
        <v>0</v>
      </c>
      <c r="BL18">
        <f ca="1">INDIRECT("'Data 17'!BL"&amp;IF('Plot Layout'!R10="",2,'Plot Layout'!R10+1))</f>
        <v>0</v>
      </c>
      <c r="BM18">
        <f ca="1">INDIRECT("'Data 17'!BM"&amp;IF('Plot Layout'!R10="",2,'Plot Layout'!R10+1))</f>
        <v>0</v>
      </c>
      <c r="BN18">
        <f ca="1">INDIRECT("'Data 17'!BN"&amp;IF('Plot Layout'!R10="",2,'Plot Layout'!R10+1))</f>
        <v>0</v>
      </c>
      <c r="BO18">
        <f ca="1">INDIRECT("'Data 17'!BO"&amp;IF('Plot Layout'!R10="",2,'Plot Layout'!R10+1))</f>
        <v>0</v>
      </c>
      <c r="BP18">
        <f ca="1">INDIRECT("'Data 17'!BP"&amp;IF('Plot Layout'!R10="",2,'Plot Layout'!R10+1))</f>
        <v>0</v>
      </c>
      <c r="BQ18">
        <f ca="1">INDIRECT("'Data 17'!BQ"&amp;IF('Plot Layout'!R10="",2,'Plot Layout'!R10+1))</f>
        <v>0</v>
      </c>
      <c r="BR18">
        <f ca="1">INDIRECT("'Data 17'!BR"&amp;IF('Plot Layout'!R10="",2,'Plot Layout'!R10+1))</f>
        <v>0</v>
      </c>
      <c r="BS18">
        <f ca="1">INDIRECT("'Data 17'!BS"&amp;IF('Plot Layout'!R10="",2,'Plot Layout'!R10+1))</f>
        <v>0</v>
      </c>
      <c r="BT18">
        <f ca="1">INDIRECT("'Data 17'!BT"&amp;IF('Plot Layout'!R10="",2,'Plot Layout'!R10+1))</f>
        <v>0</v>
      </c>
      <c r="BU18">
        <f ca="1">INDIRECT("'Data 17'!BU"&amp;IF('Plot Layout'!R10="",2,'Plot Layout'!R10+1))</f>
        <v>0</v>
      </c>
      <c r="BV18">
        <f ca="1">INDIRECT("'Data 17'!BV"&amp;IF('Plot Layout'!R10="",2,'Plot Layout'!R10+1))</f>
        <v>0</v>
      </c>
      <c r="BW18">
        <f ca="1">INDIRECT("'Data 17'!BW"&amp;IF('Plot Layout'!R10="",2,'Plot Layout'!R10+1))</f>
        <v>0</v>
      </c>
      <c r="BX18">
        <f ca="1">INDIRECT("'Data 17'!BX"&amp;IF('Plot Layout'!R10="",2,'Plot Layout'!R10+1))</f>
        <v>0</v>
      </c>
      <c r="BY18">
        <f ca="1">INDIRECT("'Data 17'!BY"&amp;IF('Plot Layout'!R10="",2,'Plot Layout'!R10+1))</f>
        <v>0</v>
      </c>
      <c r="BZ18">
        <f ca="1">INDIRECT("'Data 17'!BZ"&amp;IF('Plot Layout'!R10="",2,'Plot Layout'!R10+1))</f>
        <v>0</v>
      </c>
      <c r="CA18">
        <f ca="1">INDIRECT("'Data 17'!CA"&amp;IF('Plot Layout'!R10="",2,'Plot Layout'!R10+1))</f>
        <v>0</v>
      </c>
      <c r="CB18">
        <f ca="1">INDIRECT("'Data 17'!CB"&amp;IF('Plot Layout'!R10="",2,'Plot Layout'!R10+1))</f>
        <v>0</v>
      </c>
      <c r="CC18">
        <f ca="1">INDIRECT("'Data 17'!CC"&amp;IF('Plot Layout'!R10="",2,'Plot Layout'!R10+1))</f>
        <v>0</v>
      </c>
      <c r="CD18">
        <f ca="1">INDIRECT("'Data 17'!CD"&amp;IF('Plot Layout'!R10="",2,'Plot Layout'!R10+1))</f>
        <v>0</v>
      </c>
      <c r="CE18">
        <f ca="1">INDIRECT("'Data 17'!CE"&amp;IF('Plot Layout'!R10="",2,'Plot Layout'!R10+1))</f>
        <v>0</v>
      </c>
      <c r="CF18">
        <f ca="1">INDIRECT("'Data 17'!CF"&amp;IF('Plot Layout'!R10="",2,'Plot Layout'!R10+1))</f>
        <v>0</v>
      </c>
      <c r="CG18">
        <f ca="1">INDIRECT("'Data 17'!CG"&amp;IF('Plot Layout'!R10="",2,'Plot Layout'!R10+1))</f>
        <v>0</v>
      </c>
      <c r="CH18">
        <f ca="1">INDIRECT("'Data 17'!CH"&amp;IF('Plot Layout'!R10="",2,'Plot Layout'!R10+1))</f>
        <v>0</v>
      </c>
      <c r="CI18">
        <f ca="1">INDIRECT("'Data 17'!CI"&amp;IF('Plot Layout'!R10="",2,'Plot Layout'!R10+1))</f>
        <v>0</v>
      </c>
      <c r="CJ18">
        <f ca="1">INDIRECT("'Data 17'!CJ"&amp;IF('Plot Layout'!R10="",2,'Plot Layout'!R10+1))</f>
        <v>0</v>
      </c>
      <c r="CK18">
        <f ca="1">INDIRECT("'Data 17'!CK"&amp;IF('Plot Layout'!R10="",2,'Plot Layout'!R10+1))</f>
        <v>0</v>
      </c>
      <c r="CL18">
        <f ca="1">INDIRECT("'Data 17'!CL"&amp;IF('Plot Layout'!R10="",2,'Plot Layout'!R10+1))</f>
        <v>0</v>
      </c>
      <c r="CM18">
        <f ca="1">INDIRECT("'Data 17'!CM"&amp;IF('Plot Layout'!R10="",2,'Plot Layout'!R10+1))</f>
        <v>0</v>
      </c>
      <c r="CN18">
        <f ca="1">INDIRECT("'Data 17'!CN"&amp;IF('Plot Layout'!R10="",2,'Plot Layout'!R10+1))</f>
        <v>0</v>
      </c>
      <c r="CO18">
        <f ca="1">INDIRECT("'Data 17'!CO"&amp;IF('Plot Layout'!R10="",2,'Plot Layout'!R10+1))</f>
        <v>0</v>
      </c>
      <c r="CP18">
        <f ca="1">INDIRECT("'Data 17'!CP"&amp;IF('Plot Layout'!R10="",2,'Plot Layout'!R10+1))</f>
        <v>0</v>
      </c>
      <c r="CQ18">
        <f ca="1">INDIRECT("'Data 17'!CQ"&amp;IF('Plot Layout'!R10="",2,'Plot Layout'!R10+1))</f>
        <v>0</v>
      </c>
      <c r="CR18">
        <f ca="1">INDIRECT("'Data 17'!CR"&amp;IF('Plot Layout'!R10="",2,'Plot Layout'!R10+1))</f>
        <v>0</v>
      </c>
      <c r="CS18">
        <f ca="1">INDIRECT("'Data 17'!CS"&amp;IF('Plot Layout'!R10="",2,'Plot Layout'!R10+1))</f>
        <v>0</v>
      </c>
      <c r="CT18">
        <f ca="1">INDIRECT("'Data 17'!CT"&amp;IF('Plot Layout'!R10="",2,'Plot Layout'!R10+1))</f>
        <v>0</v>
      </c>
      <c r="CU18">
        <f ca="1">INDIRECT("'Data 17'!CU"&amp;IF('Plot Layout'!R10="",2,'Plot Layout'!R10+1))</f>
        <v>0</v>
      </c>
      <c r="CV18">
        <f ca="1">INDIRECT("'Data 17'!CV"&amp;IF('Plot Layout'!R10="",2,'Plot Layout'!R10+1))</f>
        <v>0</v>
      </c>
      <c r="CW18">
        <f ca="1">INDIRECT("'Data 17'!CW"&amp;IF('Plot Layout'!R10="",2,'Plot Layout'!R10+1))</f>
        <v>0</v>
      </c>
      <c r="CX18">
        <f ca="1">INDIRECT("'Data 17'!CX"&amp;IF('Plot Layout'!R10="",2,'Plot Layout'!R10+1))</f>
        <v>0</v>
      </c>
      <c r="CY18">
        <f ca="1">INDIRECT("'Data 17'!CY"&amp;IF('Plot Layout'!R10="",2,'Plot Layout'!R10+1))</f>
        <v>0</v>
      </c>
      <c r="CZ18">
        <f ca="1">INDIRECT("'Data 17'!CZ"&amp;IF('Plot Layout'!R10="",2,'Plot Layout'!R10+1))</f>
        <v>0</v>
      </c>
      <c r="DA18">
        <f ca="1">INDIRECT("'Data 17'!DA"&amp;IF('Plot Layout'!R10="",2,'Plot Layout'!R10+1))</f>
        <v>0</v>
      </c>
      <c r="DB18">
        <f ca="1">INDIRECT("'Data 17'!DB"&amp;IF('Plot Layout'!R10="",2,'Plot Layout'!R10+1))</f>
        <v>0</v>
      </c>
      <c r="DC18">
        <f ca="1">INDIRECT("'Data 17'!DC"&amp;IF('Plot Layout'!R10="",2,'Plot Layout'!R10+1))</f>
        <v>0</v>
      </c>
      <c r="DD18">
        <f ca="1">INDIRECT("'Data 17'!DD"&amp;IF('Plot Layout'!R10="",2,'Plot Layout'!R10+1))</f>
        <v>0</v>
      </c>
      <c r="DE18">
        <f ca="1">INDIRECT("'Data 17'!DE"&amp;IF('Plot Layout'!R10="",2,'Plot Layout'!R10+1))</f>
        <v>0</v>
      </c>
      <c r="DF18">
        <f ca="1">INDIRECT("'Data 17'!DF"&amp;IF('Plot Layout'!R10="",2,'Plot Layout'!R10+1))</f>
        <v>0</v>
      </c>
      <c r="DG18">
        <f ca="1">INDIRECT("'Data 17'!DG"&amp;IF('Plot Layout'!R10="",2,'Plot Layout'!R10+1))</f>
        <v>0</v>
      </c>
      <c r="DH18">
        <f ca="1">INDIRECT("'Data 17'!DH"&amp;IF('Plot Layout'!R10="",2,'Plot Layout'!R10+1))</f>
        <v>0</v>
      </c>
      <c r="DI18">
        <f ca="1">INDIRECT("'Data 17'!DI"&amp;IF('Plot Layout'!R10="",2,'Plot Layout'!R10+1))</f>
        <v>0</v>
      </c>
      <c r="DJ18">
        <f ca="1">INDIRECT("'Data 17'!DJ"&amp;IF('Plot Layout'!R10="",2,'Plot Layout'!R10+1))</f>
        <v>0</v>
      </c>
      <c r="DK18">
        <f ca="1">INDIRECT("'Data 17'!DK"&amp;IF('Plot Layout'!R10="",2,'Plot Layout'!R10+1))</f>
        <v>0</v>
      </c>
      <c r="DL18">
        <f ca="1">INDIRECT("'Data 17'!DL"&amp;IF('Plot Layout'!R10="",2,'Plot Layout'!R10+1))</f>
        <v>0</v>
      </c>
      <c r="DM18">
        <f ca="1">INDIRECT("'Data 17'!DM"&amp;IF('Plot Layout'!R10="",2,'Plot Layout'!R10+1))</f>
        <v>0</v>
      </c>
      <c r="DN18">
        <f ca="1">INDIRECT("'Data 17'!DN"&amp;IF('Plot Layout'!R10="",2,'Plot Layout'!R10+1))</f>
        <v>0</v>
      </c>
      <c r="DO18">
        <f ca="1">INDIRECT("'Data 17'!DO"&amp;IF('Plot Layout'!R10="",2,'Plot Layout'!R10+1))</f>
        <v>0</v>
      </c>
      <c r="DP18">
        <f ca="1">INDIRECT("'Data 17'!DP"&amp;IF('Plot Layout'!R10="",2,'Plot Layout'!R10+1))</f>
        <v>0</v>
      </c>
      <c r="DQ18">
        <f ca="1">INDIRECT("'Data 17'!DQ"&amp;IF('Plot Layout'!R10="",2,'Plot Layout'!R10+1))</f>
        <v>0</v>
      </c>
      <c r="DR18">
        <f ca="1">INDIRECT("'Data 17'!DR"&amp;IF('Plot Layout'!R10="",2,'Plot Layout'!R10+1))</f>
        <v>0</v>
      </c>
      <c r="DS18">
        <f ca="1">INDIRECT("'Data 17'!DS"&amp;IF('Plot Layout'!R10="",2,'Plot Layout'!R10+1))</f>
        <v>0</v>
      </c>
      <c r="DT18">
        <f ca="1">INDIRECT("'Data 17'!DT"&amp;IF('Plot Layout'!R10="",2,'Plot Layout'!R10+1))</f>
        <v>0</v>
      </c>
      <c r="DU18">
        <f ca="1">INDIRECT("'Data 17'!DU"&amp;IF('Plot Layout'!R10="",2,'Plot Layout'!R10+1))</f>
        <v>0</v>
      </c>
      <c r="DV18">
        <f ca="1">INDIRECT("'Data 17'!DV"&amp;IF('Plot Layout'!R10="",2,'Plot Layout'!R10+1))</f>
        <v>0</v>
      </c>
      <c r="DW18">
        <f ca="1">INDIRECT("'Data 17'!DW"&amp;IF('Plot Layout'!R10="",2,'Plot Layout'!R10+1))</f>
        <v>0</v>
      </c>
      <c r="DX18">
        <f ca="1">INDIRECT("'Data 17'!DX"&amp;IF('Plot Layout'!R10="",2,'Plot Layout'!R10+1))</f>
        <v>0</v>
      </c>
      <c r="DY18">
        <f ca="1">INDIRECT("'Data 17'!DY"&amp;IF('Plot Layout'!R10="",2,'Plot Layout'!R10+1))</f>
        <v>0</v>
      </c>
      <c r="DZ18">
        <f ca="1">INDIRECT("'Data 17'!DZ"&amp;IF('Plot Layout'!R10="",2,'Plot Layout'!R10+1))</f>
        <v>0</v>
      </c>
      <c r="EA18">
        <f ca="1">INDIRECT("'Data 17'!EA"&amp;IF('Plot Layout'!R10="",2,'Plot Layout'!R10+1))</f>
        <v>0</v>
      </c>
      <c r="EB18">
        <f ca="1">INDIRECT("'Data 17'!EB"&amp;IF('Plot Layout'!R10="",2,'Plot Layout'!R10+1))</f>
        <v>0</v>
      </c>
      <c r="EC18">
        <f ca="1">INDIRECT("'Data 17'!EC"&amp;IF('Plot Layout'!R10="",2,'Plot Layout'!R10+1))</f>
        <v>0</v>
      </c>
      <c r="ED18">
        <f ca="1">INDIRECT("'Data 17'!ED"&amp;IF('Plot Layout'!R10="",2,'Plot Layout'!R10+1))</f>
        <v>0</v>
      </c>
      <c r="EE18">
        <f ca="1">INDIRECT("'Data 17'!EE"&amp;IF('Plot Layout'!R10="",2,'Plot Layout'!R10+1))</f>
        <v>0</v>
      </c>
      <c r="EF18">
        <f ca="1">INDIRECT("'Data 17'!EF"&amp;IF('Plot Layout'!R10="",2,'Plot Layout'!R10+1))</f>
        <v>0</v>
      </c>
      <c r="EG18">
        <f ca="1">INDIRECT("'Data 17'!EG"&amp;IF('Plot Layout'!R10="",2,'Plot Layout'!R10+1))</f>
        <v>0</v>
      </c>
      <c r="EH18">
        <f ca="1">INDIRECT("'Data 17'!EH"&amp;IF('Plot Layout'!R10="",2,'Plot Layout'!R10+1))</f>
        <v>0</v>
      </c>
      <c r="EI18">
        <f ca="1">INDIRECT("'Data 17'!EI"&amp;IF('Plot Layout'!R10="",2,'Plot Layout'!R10+1))</f>
        <v>0</v>
      </c>
      <c r="EJ18">
        <f ca="1">INDIRECT("'Data 17'!EJ"&amp;IF('Plot Layout'!R10="",2,'Plot Layout'!R10+1))</f>
        <v>0</v>
      </c>
      <c r="EK18">
        <f ca="1">INDIRECT("'Data 17'!EK"&amp;IF('Plot Layout'!R10="",2,'Plot Layout'!R10+1))</f>
        <v>0</v>
      </c>
      <c r="EL18">
        <f ca="1">INDIRECT("'Data 17'!EL"&amp;IF('Plot Layout'!R10="",2,'Plot Layout'!R10+1))</f>
        <v>0</v>
      </c>
      <c r="EM18">
        <f ca="1">INDIRECT("'Data 17'!EM"&amp;IF('Plot Layout'!R10="",2,'Plot Layout'!R10+1))</f>
        <v>0</v>
      </c>
      <c r="EN18">
        <f ca="1">INDIRECT("'Data 17'!EN"&amp;IF('Plot Layout'!R10="",2,'Plot Layout'!R10+1))</f>
        <v>0</v>
      </c>
      <c r="EO18">
        <f ca="1">INDIRECT("'Data 17'!EO"&amp;IF('Plot Layout'!R10="",2,'Plot Layout'!R10+1))</f>
        <v>0</v>
      </c>
      <c r="EP18">
        <f ca="1">INDIRECT("'Data 17'!EP"&amp;IF('Plot Layout'!R10="",2,'Plot Layout'!R10+1))</f>
        <v>0</v>
      </c>
      <c r="EQ18">
        <f ca="1">INDIRECT("'Data 17'!EQ"&amp;IF('Plot Layout'!R10="",2,'Plot Layout'!R10+1))</f>
        <v>0</v>
      </c>
      <c r="ER18">
        <f ca="1">INDIRECT("'Data 17'!ER"&amp;IF('Plot Layout'!R10="",2,'Plot Layout'!R10+1))</f>
        <v>0</v>
      </c>
      <c r="ES18">
        <f ca="1">INDIRECT("'Data 17'!ES"&amp;IF('Plot Layout'!R10="",2,'Plot Layout'!R10+1))</f>
        <v>0</v>
      </c>
      <c r="ET18">
        <f ca="1">INDIRECT("'Data 17'!ET"&amp;IF('Plot Layout'!R10="",2,'Plot Layout'!R10+1))</f>
        <v>0</v>
      </c>
      <c r="EU18">
        <f ca="1">INDIRECT("'Data 17'!EU"&amp;IF('Plot Layout'!R10="",2,'Plot Layout'!R10+1))</f>
        <v>0</v>
      </c>
      <c r="EV18">
        <f ca="1">INDIRECT("'Data 17'!EV"&amp;IF('Plot Layout'!R10="",2,'Plot Layout'!R10+1))</f>
        <v>0</v>
      </c>
      <c r="EW18">
        <f ca="1">INDIRECT("'Data 17'!EW"&amp;IF('Plot Layout'!R10="",2,'Plot Layout'!R10+1))</f>
        <v>0</v>
      </c>
      <c r="EX18">
        <f ca="1">INDIRECT("'Data 17'!EX"&amp;IF('Plot Layout'!R10="",2,'Plot Layout'!R10+1))</f>
        <v>0</v>
      </c>
      <c r="EY18">
        <f ca="1">INDIRECT("'Data 17'!EY"&amp;IF('Plot Layout'!R10="",2,'Plot Layout'!R10+1))</f>
        <v>0</v>
      </c>
      <c r="EZ18">
        <f ca="1">INDIRECT("'Data 17'!EZ"&amp;IF('Plot Layout'!R10="",2,'Plot Layout'!R10+1))</f>
        <v>0</v>
      </c>
      <c r="FA18">
        <f ca="1">INDIRECT("'Data 17'!FA"&amp;IF('Plot Layout'!R10="",2,'Plot Layout'!R10+1))</f>
        <v>0</v>
      </c>
      <c r="FB18">
        <f ca="1">INDIRECT("'Data 17'!FB"&amp;IF('Plot Layout'!R10="",2,'Plot Layout'!R10+1))</f>
        <v>0</v>
      </c>
      <c r="FC18">
        <f ca="1">INDIRECT("'Data 17'!FC"&amp;IF('Plot Layout'!R10="",2,'Plot Layout'!R10+1))</f>
        <v>0</v>
      </c>
      <c r="FD18">
        <f ca="1">INDIRECT("'Data 17'!FD"&amp;IF('Plot Layout'!R10="",2,'Plot Layout'!R10+1))</f>
        <v>0</v>
      </c>
      <c r="FE18">
        <f ca="1">INDIRECT("'Data 17'!FE"&amp;IF('Plot Layout'!R10="",2,'Plot Layout'!R10+1))</f>
        <v>0</v>
      </c>
      <c r="FF18">
        <f ca="1">INDIRECT("'Data 17'!FF"&amp;IF('Plot Layout'!R10="",2,'Plot Layout'!R10+1))</f>
        <v>0</v>
      </c>
      <c r="FG18">
        <f ca="1">INDIRECT("'Data 17'!FG"&amp;IF('Plot Layout'!R10="",2,'Plot Layout'!R10+1))</f>
        <v>0</v>
      </c>
      <c r="FH18">
        <f ca="1">INDIRECT("'Data 17'!FH"&amp;IF('Plot Layout'!R10="",2,'Plot Layout'!R10+1))</f>
        <v>0</v>
      </c>
      <c r="FI18">
        <f ca="1">INDIRECT("'Data 17'!FI"&amp;IF('Plot Layout'!R10="",2,'Plot Layout'!R10+1))</f>
        <v>0</v>
      </c>
      <c r="FJ18">
        <f ca="1">INDIRECT("'Data 17'!FJ"&amp;IF('Plot Layout'!R10="",2,'Plot Layout'!R10+1))</f>
        <v>0</v>
      </c>
      <c r="FK18">
        <f ca="1">INDIRECT("'Data 17'!FK"&amp;IF('Plot Layout'!R10="",2,'Plot Layout'!R10+1))</f>
        <v>0</v>
      </c>
      <c r="FL18">
        <f ca="1">INDIRECT("'Data 17'!FL"&amp;IF('Plot Layout'!R10="",2,'Plot Layout'!R10+1))</f>
        <v>0</v>
      </c>
      <c r="FM18">
        <f ca="1">INDIRECT("'Data 17'!FM"&amp;IF('Plot Layout'!R10="",2,'Plot Layout'!R10+1))</f>
        <v>0</v>
      </c>
      <c r="FN18">
        <f ca="1">INDIRECT("'Data 17'!FN"&amp;IF('Plot Layout'!R10="",2,'Plot Layout'!R10+1))</f>
        <v>0</v>
      </c>
      <c r="FO18">
        <f ca="1">INDIRECT("'Data 17'!FO"&amp;IF('Plot Layout'!R10="",2,'Plot Layout'!R10+1))</f>
        <v>0</v>
      </c>
      <c r="FP18">
        <f ca="1">INDIRECT("'Data 17'!FP"&amp;IF('Plot Layout'!R10="",2,'Plot Layout'!R10+1))</f>
        <v>0</v>
      </c>
      <c r="FQ18">
        <f ca="1">INDIRECT("'Data 17'!FQ"&amp;IF('Plot Layout'!R10="",2,'Plot Layout'!R10+1))</f>
        <v>0</v>
      </c>
      <c r="FR18">
        <f ca="1">INDIRECT("'Data 17'!FR"&amp;IF('Plot Layout'!R10="",2,'Plot Layout'!R10+1))</f>
        <v>0</v>
      </c>
      <c r="FS18">
        <f ca="1">INDIRECT("'Data 17'!FS"&amp;IF('Plot Layout'!R10="",2,'Plot Layout'!R10+1))</f>
        <v>0</v>
      </c>
      <c r="FT18">
        <f ca="1">INDIRECT("'Data 17'!FT"&amp;IF('Plot Layout'!R10="",2,'Plot Layout'!R10+1))</f>
        <v>0</v>
      </c>
      <c r="FU18">
        <f ca="1">INDIRECT("'Data 17'!FU"&amp;IF('Plot Layout'!R10="",2,'Plot Layout'!R10+1))</f>
        <v>0</v>
      </c>
      <c r="FV18">
        <f ca="1">INDIRECT("'Data 17'!FV"&amp;IF('Plot Layout'!R10="",2,'Plot Layout'!R10+1))</f>
        <v>0</v>
      </c>
      <c r="FW18">
        <f ca="1">INDIRECT("'Data 17'!FW"&amp;IF('Plot Layout'!R10="",2,'Plot Layout'!R10+1))</f>
        <v>0</v>
      </c>
      <c r="FX18">
        <f ca="1">INDIRECT("'Data 17'!FX"&amp;IF('Plot Layout'!R10="",2,'Plot Layout'!R10+1))</f>
        <v>0</v>
      </c>
      <c r="FY18">
        <f ca="1">INDIRECT("'Data 17'!FY"&amp;IF('Plot Layout'!R10="",2,'Plot Layout'!R10+1))</f>
        <v>0</v>
      </c>
      <c r="FZ18">
        <f ca="1">INDIRECT("'Data 17'!FZ"&amp;IF('Plot Layout'!R10="",2,'Plot Layout'!R10+1))</f>
        <v>0</v>
      </c>
      <c r="GA18">
        <f ca="1">INDIRECT("'Data 17'!GA"&amp;IF('Plot Layout'!R10="",2,'Plot Layout'!R10+1))</f>
        <v>0</v>
      </c>
      <c r="GB18">
        <f ca="1">INDIRECT("'Data 17'!GB"&amp;IF('Plot Layout'!R10="",2,'Plot Layout'!R10+1))</f>
        <v>0</v>
      </c>
      <c r="GC18">
        <f ca="1">INDIRECT("'Data 17'!GC"&amp;IF('Plot Layout'!R10="",2,'Plot Layout'!R10+1))</f>
        <v>0</v>
      </c>
      <c r="GD18">
        <f ca="1">INDIRECT("'Data 17'!GD"&amp;IF('Plot Layout'!R10="",2,'Plot Layout'!R10+1))</f>
        <v>0</v>
      </c>
      <c r="GE18">
        <f ca="1">INDIRECT("'Data 17'!GE"&amp;IF('Plot Layout'!R10="",2,'Plot Layout'!R10+1))</f>
        <v>0</v>
      </c>
      <c r="GF18">
        <f ca="1">INDIRECT("'Data 17'!GF"&amp;IF('Plot Layout'!R10="",2,'Plot Layout'!R10+1))</f>
        <v>0</v>
      </c>
      <c r="GG18">
        <f ca="1">INDIRECT("'Data 17'!GG"&amp;IF('Plot Layout'!R10="",2,'Plot Layout'!R10+1))</f>
        <v>0</v>
      </c>
      <c r="GH18">
        <f ca="1">INDIRECT("'Data 17'!GH"&amp;IF('Plot Layout'!R10="",2,'Plot Layout'!R10+1))</f>
        <v>0</v>
      </c>
      <c r="GI18">
        <f ca="1">INDIRECT("'Data 17'!GI"&amp;IF('Plot Layout'!R10="",2,'Plot Layout'!R10+1))</f>
        <v>0</v>
      </c>
      <c r="GJ18">
        <f ca="1">INDIRECT("'Data 17'!GJ"&amp;IF('Plot Layout'!R10="",2,'Plot Layout'!R10+1))</f>
        <v>0</v>
      </c>
      <c r="GK18">
        <f ca="1">INDIRECT("'Data 17'!GK"&amp;IF('Plot Layout'!R10="",2,'Plot Layout'!R10+1))</f>
        <v>0</v>
      </c>
      <c r="GL18">
        <f ca="1">INDIRECT("'Data 17'!GL"&amp;IF('Plot Layout'!R10="",2,'Plot Layout'!R10+1))</f>
        <v>0</v>
      </c>
      <c r="GM18">
        <f ca="1">INDIRECT("'Data 17'!GM"&amp;IF('Plot Layout'!R10="",2,'Plot Layout'!R10+1))</f>
        <v>0</v>
      </c>
      <c r="GN18">
        <f ca="1">INDIRECT("'Data 17'!GN"&amp;IF('Plot Layout'!R10="",2,'Plot Layout'!R10+1))</f>
        <v>0</v>
      </c>
      <c r="GO18">
        <f ca="1">INDIRECT("'Data 17'!GO"&amp;IF('Plot Layout'!R10="",2,'Plot Layout'!R10+1))</f>
        <v>0</v>
      </c>
      <c r="GP18">
        <f ca="1">INDIRECT("'Data 17'!GP"&amp;IF('Plot Layout'!R10="",2,'Plot Layout'!R10+1))</f>
        <v>0</v>
      </c>
      <c r="GQ18">
        <f ca="1">INDIRECT("'Data 17'!GQ"&amp;IF('Plot Layout'!R10="",2,'Plot Layout'!R10+1))</f>
        <v>0</v>
      </c>
      <c r="GR18">
        <f ca="1">INDIRECT("'Data 17'!GR"&amp;IF('Plot Layout'!R10="",2,'Plot Layout'!R10+1))</f>
        <v>0</v>
      </c>
      <c r="GS18">
        <f ca="1">INDIRECT("'Data 17'!GS"&amp;IF('Plot Layout'!R10="",2,'Plot Layout'!R10+1))</f>
        <v>0</v>
      </c>
      <c r="GT18">
        <f ca="1">INDIRECT("'Data 17'!GT"&amp;IF('Plot Layout'!R10="",2,'Plot Layout'!R10+1))</f>
        <v>0</v>
      </c>
      <c r="GU18">
        <f ca="1">INDIRECT("'Data 17'!GU"&amp;IF('Plot Layout'!R10="",2,'Plot Layout'!R10+1))</f>
        <v>0</v>
      </c>
      <c r="GV18">
        <f ca="1">INDIRECT("'Data 17'!GV"&amp;IF('Plot Layout'!R10="",2,'Plot Layout'!R10+1))</f>
        <v>0</v>
      </c>
      <c r="GW18">
        <f ca="1">INDIRECT("'Data 17'!GW"&amp;IF('Plot Layout'!R10="",2,'Plot Layout'!R10+1))</f>
        <v>0</v>
      </c>
      <c r="GX18">
        <f ca="1">INDIRECT("'Data 17'!GX"&amp;IF('Plot Layout'!R10="",2,'Plot Layout'!R10+1))</f>
        <v>0</v>
      </c>
      <c r="GY18">
        <f ca="1">INDIRECT("'Data 17'!GY"&amp;IF('Plot Layout'!R10="",2,'Plot Layout'!R10+1))</f>
        <v>0</v>
      </c>
      <c r="GZ18">
        <f ca="1">INDIRECT("'Data 17'!GZ"&amp;IF('Plot Layout'!R10="",2,'Plot Layout'!R10+1))</f>
        <v>0</v>
      </c>
      <c r="HA18">
        <f ca="1">INDIRECT("'Data 17'!HA"&amp;IF('Plot Layout'!R10="",2,'Plot Layout'!R10+1))</f>
        <v>0</v>
      </c>
      <c r="HB18">
        <f ca="1">INDIRECT("'Data 17'!HB"&amp;IF('Plot Layout'!R10="",2,'Plot Layout'!R10+1))</f>
        <v>0</v>
      </c>
      <c r="HC18">
        <f ca="1">INDIRECT("'Data 17'!HC"&amp;IF('Plot Layout'!R10="",2,'Plot Layout'!R10+1))</f>
        <v>0</v>
      </c>
      <c r="HD18">
        <f ca="1">INDIRECT("'Data 17'!HD"&amp;IF('Plot Layout'!R10="",2,'Plot Layout'!R10+1))</f>
        <v>0</v>
      </c>
      <c r="HE18">
        <f ca="1">INDIRECT("'Data 17'!HE"&amp;IF('Plot Layout'!R10="",2,'Plot Layout'!R10+1))</f>
        <v>0</v>
      </c>
      <c r="HF18">
        <f ca="1">INDIRECT("'Data 17'!HF"&amp;IF('Plot Layout'!R10="",2,'Plot Layout'!R10+1))</f>
        <v>0</v>
      </c>
      <c r="HG18">
        <f ca="1">INDIRECT("'Data 17'!HG"&amp;IF('Plot Layout'!R10="",2,'Plot Layout'!R10+1))</f>
        <v>0</v>
      </c>
      <c r="HH18">
        <f ca="1">INDIRECT("'Data 17'!HH"&amp;IF('Plot Layout'!R10="",2,'Plot Layout'!R10+1))</f>
        <v>0</v>
      </c>
      <c r="HI18">
        <f ca="1">INDIRECT("'Data 17'!HI"&amp;IF('Plot Layout'!R10="",2,'Plot Layout'!R10+1))</f>
        <v>0</v>
      </c>
      <c r="HJ18">
        <f ca="1">INDIRECT("'Data 17'!HJ"&amp;IF('Plot Layout'!R10="",2,'Plot Layout'!R10+1))</f>
        <v>0</v>
      </c>
      <c r="HK18">
        <f ca="1">INDIRECT("'Data 17'!HK"&amp;IF('Plot Layout'!R10="",2,'Plot Layout'!R10+1))</f>
        <v>0</v>
      </c>
      <c r="HL18">
        <f ca="1">INDIRECT("'Data 17'!HL"&amp;IF('Plot Layout'!R10="",2,'Plot Layout'!R10+1))</f>
        <v>0</v>
      </c>
      <c r="HM18">
        <f ca="1">INDIRECT("'Data 17'!HM"&amp;IF('Plot Layout'!R10="",2,'Plot Layout'!R10+1))</f>
        <v>0</v>
      </c>
      <c r="HN18">
        <f ca="1">INDIRECT("'Data 17'!HN"&amp;IF('Plot Layout'!R10="",2,'Plot Layout'!R10+1))</f>
        <v>0</v>
      </c>
      <c r="HO18">
        <f ca="1">INDIRECT("'Data 17'!HO"&amp;IF('Plot Layout'!R10="",2,'Plot Layout'!R10+1))</f>
        <v>0</v>
      </c>
      <c r="HP18">
        <f ca="1">INDIRECT("'Data 17'!HP"&amp;IF('Plot Layout'!R10="",2,'Plot Layout'!R10+1))</f>
        <v>0</v>
      </c>
      <c r="HQ18">
        <f ca="1">INDIRECT("'Data 17'!HQ"&amp;IF('Plot Layout'!R10="",2,'Plot Layout'!R10+1))</f>
        <v>0</v>
      </c>
      <c r="HR18">
        <f ca="1">INDIRECT("'Data 17'!HR"&amp;IF('Plot Layout'!R10="",2,'Plot Layout'!R10+1))</f>
        <v>0</v>
      </c>
      <c r="HS18">
        <f ca="1">INDIRECT("'Data 17'!HS"&amp;IF('Plot Layout'!R10="",2,'Plot Layout'!R10+1))</f>
        <v>0</v>
      </c>
      <c r="HT18">
        <f ca="1">INDIRECT("'Data 17'!HT"&amp;IF('Plot Layout'!R10="",2,'Plot Layout'!R10+1))</f>
        <v>0</v>
      </c>
      <c r="HU18">
        <f ca="1">INDIRECT("'Data 17'!HU"&amp;IF('Plot Layout'!R10="",2,'Plot Layout'!R10+1))</f>
        <v>0</v>
      </c>
      <c r="HV18">
        <f ca="1">INDIRECT("'Data 17'!HV"&amp;IF('Plot Layout'!R10="",2,'Plot Layout'!R10+1))</f>
        <v>0</v>
      </c>
      <c r="HW18">
        <f ca="1">INDIRECT("'Data 17'!HW"&amp;IF('Plot Layout'!R10="",2,'Plot Layout'!R10+1))</f>
        <v>0</v>
      </c>
      <c r="HX18">
        <f ca="1">INDIRECT("'Data 17'!HX"&amp;IF('Plot Layout'!R10="",2,'Plot Layout'!R10+1))</f>
        <v>0</v>
      </c>
      <c r="HY18">
        <f ca="1">INDIRECT("'Data 17'!HY"&amp;IF('Plot Layout'!R10="",2,'Plot Layout'!R10+1))</f>
        <v>0</v>
      </c>
      <c r="HZ18">
        <f ca="1">INDIRECT("'Data 17'!HZ"&amp;IF('Plot Layout'!R10="",2,'Plot Layout'!R10+1))</f>
        <v>0</v>
      </c>
      <c r="IA18">
        <f ca="1">INDIRECT("'Data 17'!IA"&amp;IF('Plot Layout'!R10="",2,'Plot Layout'!R10+1))</f>
        <v>0</v>
      </c>
      <c r="IB18">
        <f ca="1">INDIRECT("'Data 17'!IB"&amp;IF('Plot Layout'!R10="",2,'Plot Layout'!R10+1))</f>
        <v>0</v>
      </c>
      <c r="IC18">
        <f ca="1">INDIRECT("'Data 17'!IC"&amp;IF('Plot Layout'!R10="",2,'Plot Layout'!R10+1))</f>
        <v>0</v>
      </c>
      <c r="ID18">
        <f ca="1">INDIRECT("'Data 17'!ID"&amp;IF('Plot Layout'!R10="",2,'Plot Layout'!R10+1))</f>
        <v>0</v>
      </c>
      <c r="IE18">
        <f ca="1">INDIRECT("'Data 17'!IE"&amp;IF('Plot Layout'!R10="",2,'Plot Layout'!R10+1))</f>
        <v>0</v>
      </c>
      <c r="IF18">
        <f ca="1">INDIRECT("'Data 17'!IF"&amp;IF('Plot Layout'!R10="",2,'Plot Layout'!R10+1))</f>
        <v>0</v>
      </c>
      <c r="IG18">
        <f ca="1">INDIRECT("'Data 17'!IG"&amp;IF('Plot Layout'!R10="",2,'Plot Layout'!R10+1))</f>
        <v>0</v>
      </c>
      <c r="IH18">
        <f ca="1">INDIRECT("'Data 17'!IH"&amp;IF('Plot Layout'!R10="",2,'Plot Layout'!R10+1))</f>
        <v>0</v>
      </c>
      <c r="II18">
        <f ca="1">INDIRECT("'Data 17'!II"&amp;IF('Plot Layout'!R10="",2,'Plot Layout'!R10+1))</f>
        <v>0</v>
      </c>
      <c r="IJ18">
        <f ca="1">INDIRECT("'Data 17'!IJ"&amp;IF('Plot Layout'!R10="",2,'Plot Layout'!R10+1))</f>
        <v>0</v>
      </c>
      <c r="IK18">
        <f ca="1">INDIRECT("'Data 17'!IK"&amp;IF('Plot Layout'!R10="",2,'Plot Layout'!R10+1))</f>
        <v>0</v>
      </c>
      <c r="IL18">
        <f ca="1">INDIRECT("'Data 17'!IL"&amp;IF('Plot Layout'!R10="",2,'Plot Layout'!R10+1))</f>
        <v>0</v>
      </c>
      <c r="IM18">
        <f ca="1">INDIRECT("'Data 17'!IM"&amp;IF('Plot Layout'!R10="",2,'Plot Layout'!R10+1))</f>
        <v>0</v>
      </c>
      <c r="IN18">
        <f ca="1">INDIRECT("'Data 17'!IN"&amp;IF('Plot Layout'!R10="",2,'Plot Layout'!R10+1))</f>
        <v>0</v>
      </c>
      <c r="IO18">
        <f ca="1">INDIRECT("'Data 17'!IO"&amp;IF('Plot Layout'!R10="",2,'Plot Layout'!R10+1))</f>
        <v>0</v>
      </c>
      <c r="IP18">
        <f ca="1">INDIRECT("'Data 17'!IP"&amp;IF('Plot Layout'!R10="",2,'Plot Layout'!R10+1))</f>
        <v>0</v>
      </c>
      <c r="IQ18">
        <f ca="1">INDIRECT("'Data 17'!IQ"&amp;IF('Plot Layout'!R10="",2,'Plot Layout'!R10+1))</f>
        <v>0</v>
      </c>
      <c r="IR18">
        <f ca="1">INDIRECT("'Data 17'!IR"&amp;IF('Plot Layout'!R10="",2,'Plot Layout'!R10+1))</f>
        <v>0</v>
      </c>
      <c r="IS18">
        <f ca="1">INDIRECT("'Data 17'!IS"&amp;IF('Plot Layout'!R10="",2,'Plot Layout'!R10+1))</f>
        <v>0</v>
      </c>
      <c r="IT18">
        <f ca="1">INDIRECT("'Data 17'!IT"&amp;IF('Plot Layout'!R10="",2,'Plot Layout'!R10+1))</f>
        <v>0</v>
      </c>
      <c r="IU18">
        <f ca="1">INDIRECT("'Data 17'!IU"&amp;IF('Plot Layout'!R10="",2,'Plot Layout'!R10+1))</f>
        <v>0</v>
      </c>
      <c r="IV18">
        <f ca="1">INDIRECT("'Data 17'!IV"&amp;IF('Plot Layout'!R10="",2,'Plot Layout'!R10+1))</f>
        <v>0</v>
      </c>
    </row>
    <row r="19" spans="1:256">
      <c r="A19">
        <f ca="1">INDIRECT("'Data 18'!A"&amp;IF('Plot Layout'!S10="",2,'Plot Layout'!S10+1))</f>
        <v>0</v>
      </c>
      <c r="B19">
        <f ca="1">INDIRECT("'Data 18'!B"&amp;IF('Plot Layout'!S10="",2,'Plot Layout'!S10+1))</f>
        <v>1E-3</v>
      </c>
      <c r="C19" t="str">
        <f ca="1">INDIRECT("'Data 18'!C"&amp;IF('Plot Layout'!S10="",2,'Plot Layout'!S10+1))</f>
        <v>65-006</v>
      </c>
      <c r="D19">
        <f ca="1">INDIRECT("'Data 18'!D"&amp;IF('Plot Layout'!S10="",2,'Plot Layout'!S10+1))</f>
        <v>2.3999999999999998E-3</v>
      </c>
      <c r="E19">
        <f ca="1">INDIRECT("'Data 18'!E"&amp;IF('Plot Layout'!S10="",2,'Plot Layout'!S10+1))</f>
        <v>1E-4</v>
      </c>
      <c r="F19">
        <f ca="1">INDIRECT("'Data 18'!F"&amp;IF('Plot Layout'!S10="",2,'Plot Layout'!S10+1))</f>
        <v>0.06</v>
      </c>
      <c r="G19">
        <f ca="1">INDIRECT("'Data 18'!G"&amp;IF('Plot Layout'!S10="",2,'Plot Layout'!S10+1))</f>
        <v>0</v>
      </c>
      <c r="H19">
        <f ca="1">INDIRECT("'Data 18'!H"&amp;IF('Plot Layout'!S10="",2,'Plot Layout'!S10+1))</f>
        <v>0</v>
      </c>
      <c r="I19">
        <f ca="1">INDIRECT("'Data 18'!I"&amp;IF('Plot Layout'!S10="",2,'Plot Layout'!S10+1))</f>
        <v>0</v>
      </c>
      <c r="J19">
        <f ca="1">INDIRECT("'Data 18'!J"&amp;IF('Plot Layout'!S10="",2,'Plot Layout'!S10+1))</f>
        <v>0</v>
      </c>
      <c r="K19">
        <f ca="1">INDIRECT("'Data 18'!K"&amp;IF('Plot Layout'!S10="",2,'Plot Layout'!S10+1))</f>
        <v>13.4</v>
      </c>
      <c r="L19">
        <f ca="1">INDIRECT("'Data 18'!L"&amp;IF('Plot Layout'!S10="",2,'Plot Layout'!S10+1))</f>
        <v>9.1</v>
      </c>
      <c r="M19">
        <f ca="1">INDIRECT("'Data 18'!M"&amp;IF('Plot Layout'!S10="",2,'Plot Layout'!S10+1))</f>
        <v>1</v>
      </c>
      <c r="N19">
        <f ca="1">INDIRECT("'Data 18'!N"&amp;IF('Plot Layout'!S10="",2,'Plot Layout'!S10+1))</f>
        <v>1</v>
      </c>
      <c r="O19">
        <f ca="1">INDIRECT("'Data 18'!O"&amp;IF('Plot Layout'!S10="",2,'Plot Layout'!S10+1))</f>
        <v>-4</v>
      </c>
      <c r="P19">
        <f ca="1">INDIRECT("'Data 18'!P"&amp;IF('Plot Layout'!S10="",2,'Plot Layout'!S10+1))</f>
        <v>0</v>
      </c>
      <c r="Q19">
        <f ca="1">INDIRECT("'Data 18'!Q"&amp;IF('Plot Layout'!S10="",2,'Plot Layout'!S10+1))</f>
        <v>8.9999999999999993E-3</v>
      </c>
      <c r="R19">
        <f ca="1">INDIRECT("'Data 18'!R"&amp;IF('Plot Layout'!S10="",2,'Plot Layout'!S10+1))</f>
        <v>0</v>
      </c>
      <c r="S19">
        <f ca="1">INDIRECT("'Data 18'!S"&amp;IF('Plot Layout'!S10="",2,'Plot Layout'!S10+1))</f>
        <v>0</v>
      </c>
      <c r="T19">
        <f ca="1">INDIRECT("'Data 18'!T"&amp;IF('Plot Layout'!S10="",2,'Plot Layout'!S10+1))</f>
        <v>0</v>
      </c>
      <c r="U19">
        <f ca="1">INDIRECT("'Data 18'!U"&amp;IF('Plot Layout'!S10="",2,'Plot Layout'!S10+1))</f>
        <v>0</v>
      </c>
      <c r="V19">
        <f ca="1">INDIRECT("'Data 18'!V"&amp;IF('Plot Layout'!S10="",2,'Plot Layout'!S10+1))</f>
        <v>0</v>
      </c>
      <c r="W19">
        <f ca="1">INDIRECT("'Data 18'!W"&amp;IF('Plot Layout'!S10="",2,'Plot Layout'!S10+1))</f>
        <v>0</v>
      </c>
      <c r="X19">
        <f ca="1">INDIRECT("'Data 18'!X"&amp;IF('Plot Layout'!S10="",2,'Plot Layout'!S10+1))</f>
        <v>0</v>
      </c>
      <c r="Y19">
        <f ca="1">INDIRECT("'Data 18'!Y"&amp;IF('Plot Layout'!S10="",2,'Plot Layout'!S10+1))</f>
        <v>0</v>
      </c>
      <c r="Z19">
        <f ca="1">INDIRECT("'Data 18'!Z"&amp;IF('Plot Layout'!S10="",2,'Plot Layout'!S10+1))</f>
        <v>0</v>
      </c>
      <c r="AA19">
        <f ca="1">INDIRECT("'Data 18'!AA"&amp;IF('Plot Layout'!S10="",2,'Plot Layout'!S10+1))</f>
        <v>0</v>
      </c>
      <c r="AB19">
        <f ca="1">INDIRECT("'Data 18'!AB"&amp;IF('Plot Layout'!S10="",2,'Plot Layout'!S10+1))</f>
        <v>0</v>
      </c>
      <c r="AC19">
        <f ca="1">INDIRECT("'Data 18'!AC"&amp;IF('Plot Layout'!S10="",2,'Plot Layout'!S10+1))</f>
        <v>0</v>
      </c>
      <c r="AD19">
        <f ca="1">INDIRECT("'Data 18'!AD"&amp;IF('Plot Layout'!S10="",2,'Plot Layout'!S10+1))</f>
        <v>0</v>
      </c>
      <c r="AE19">
        <f ca="1">INDIRECT("'Data 18'!AE"&amp;IF('Plot Layout'!S10="",2,'Plot Layout'!S10+1))</f>
        <v>0</v>
      </c>
      <c r="AF19">
        <f ca="1">INDIRECT("'Data 18'!AF"&amp;IF('Plot Layout'!S10="",2,'Plot Layout'!S10+1))</f>
        <v>0</v>
      </c>
      <c r="AG19">
        <f ca="1">INDIRECT("'Data 18'!AG"&amp;IF('Plot Layout'!S10="",2,'Plot Layout'!S10+1))</f>
        <v>0</v>
      </c>
      <c r="AH19">
        <f ca="1">INDIRECT("'Data 18'!AH"&amp;IF('Plot Layout'!S10="",2,'Plot Layout'!S10+1))</f>
        <v>0</v>
      </c>
      <c r="AI19">
        <f ca="1">INDIRECT("'Data 18'!AI"&amp;IF('Plot Layout'!S10="",2,'Plot Layout'!S10+1))</f>
        <v>0</v>
      </c>
      <c r="AJ19">
        <f ca="1">INDIRECT("'Data 18'!AJ"&amp;IF('Plot Layout'!S10="",2,'Plot Layout'!S10+1))</f>
        <v>0</v>
      </c>
      <c r="AK19">
        <f ca="1">INDIRECT("'Data 18'!AK"&amp;IF('Plot Layout'!S10="",2,'Plot Layout'!S10+1))</f>
        <v>0</v>
      </c>
      <c r="AL19">
        <f ca="1">INDIRECT("'Data 18'!AL"&amp;IF('Plot Layout'!S10="",2,'Plot Layout'!S10+1))</f>
        <v>0</v>
      </c>
      <c r="AM19">
        <f ca="1">INDIRECT("'Data 18'!AM"&amp;IF('Plot Layout'!S10="",2,'Plot Layout'!S10+1))</f>
        <v>0</v>
      </c>
      <c r="AN19">
        <f ca="1">INDIRECT("'Data 18'!AN"&amp;IF('Plot Layout'!S10="",2,'Plot Layout'!S10+1))</f>
        <v>0</v>
      </c>
      <c r="AO19">
        <f ca="1">INDIRECT("'Data 18'!AO"&amp;IF('Plot Layout'!S10="",2,'Plot Layout'!S10+1))</f>
        <v>0</v>
      </c>
      <c r="AP19">
        <f ca="1">INDIRECT("'Data 18'!AP"&amp;IF('Plot Layout'!S10="",2,'Plot Layout'!S10+1))</f>
        <v>0</v>
      </c>
      <c r="AQ19">
        <f ca="1">INDIRECT("'Data 18'!AQ"&amp;IF('Plot Layout'!S10="",2,'Plot Layout'!S10+1))</f>
        <v>0</v>
      </c>
      <c r="AR19">
        <f ca="1">INDIRECT("'Data 18'!AR"&amp;IF('Plot Layout'!S10="",2,'Plot Layout'!S10+1))</f>
        <v>0</v>
      </c>
      <c r="AS19">
        <f ca="1">INDIRECT("'Data 18'!AS"&amp;IF('Plot Layout'!S10="",2,'Plot Layout'!S10+1))</f>
        <v>0</v>
      </c>
      <c r="AT19">
        <f ca="1">INDIRECT("'Data 18'!AT"&amp;IF('Plot Layout'!S10="",2,'Plot Layout'!S10+1))</f>
        <v>0</v>
      </c>
      <c r="AU19">
        <f ca="1">INDIRECT("'Data 18'!AU"&amp;IF('Plot Layout'!S10="",2,'Plot Layout'!S10+1))</f>
        <v>0</v>
      </c>
      <c r="AV19">
        <f ca="1">INDIRECT("'Data 18'!AV"&amp;IF('Plot Layout'!S10="",2,'Plot Layout'!S10+1))</f>
        <v>0</v>
      </c>
      <c r="AW19">
        <f ca="1">INDIRECT("'Data 18'!AW"&amp;IF('Plot Layout'!S10="",2,'Plot Layout'!S10+1))</f>
        <v>0</v>
      </c>
      <c r="AX19">
        <f ca="1">INDIRECT("'Data 18'!AX"&amp;IF('Plot Layout'!S10="",2,'Plot Layout'!S10+1))</f>
        <v>0</v>
      </c>
      <c r="AY19">
        <f ca="1">INDIRECT("'Data 18'!AY"&amp;IF('Plot Layout'!S10="",2,'Plot Layout'!S10+1))</f>
        <v>0</v>
      </c>
      <c r="AZ19">
        <f ca="1">INDIRECT("'Data 18'!AZ"&amp;IF('Plot Layout'!S10="",2,'Plot Layout'!S10+1))</f>
        <v>0</v>
      </c>
      <c r="BA19">
        <f ca="1">INDIRECT("'Data 18'!BA"&amp;IF('Plot Layout'!S10="",2,'Plot Layout'!S10+1))</f>
        <v>0</v>
      </c>
      <c r="BB19">
        <f ca="1">INDIRECT("'Data 18'!BB"&amp;IF('Plot Layout'!S10="",2,'Plot Layout'!S10+1))</f>
        <v>0</v>
      </c>
      <c r="BC19">
        <f ca="1">INDIRECT("'Data 18'!BC"&amp;IF('Plot Layout'!S10="",2,'Plot Layout'!S10+1))</f>
        <v>0</v>
      </c>
      <c r="BD19">
        <f ca="1">INDIRECT("'Data 18'!BD"&amp;IF('Plot Layout'!S10="",2,'Plot Layout'!S10+1))</f>
        <v>0</v>
      </c>
      <c r="BE19">
        <f ca="1">INDIRECT("'Data 18'!BE"&amp;IF('Plot Layout'!S10="",2,'Plot Layout'!S10+1))</f>
        <v>0</v>
      </c>
      <c r="BF19">
        <f ca="1">INDIRECT("'Data 18'!BF"&amp;IF('Plot Layout'!S10="",2,'Plot Layout'!S10+1))</f>
        <v>0</v>
      </c>
      <c r="BG19">
        <f ca="1">INDIRECT("'Data 18'!BG"&amp;IF('Plot Layout'!S10="",2,'Plot Layout'!S10+1))</f>
        <v>0</v>
      </c>
      <c r="BH19">
        <f ca="1">INDIRECT("'Data 18'!BH"&amp;IF('Plot Layout'!S10="",2,'Plot Layout'!S10+1))</f>
        <v>0</v>
      </c>
      <c r="BI19">
        <f ca="1">INDIRECT("'Data 18'!BI"&amp;IF('Plot Layout'!S10="",2,'Plot Layout'!S10+1))</f>
        <v>0</v>
      </c>
      <c r="BJ19">
        <f ca="1">INDIRECT("'Data 18'!BJ"&amp;IF('Plot Layout'!S10="",2,'Plot Layout'!S10+1))</f>
        <v>0</v>
      </c>
      <c r="BK19">
        <f ca="1">INDIRECT("'Data 18'!BK"&amp;IF('Plot Layout'!S10="",2,'Plot Layout'!S10+1))</f>
        <v>0</v>
      </c>
      <c r="BL19">
        <f ca="1">INDIRECT("'Data 18'!BL"&amp;IF('Plot Layout'!S10="",2,'Plot Layout'!S10+1))</f>
        <v>0</v>
      </c>
      <c r="BM19">
        <f ca="1">INDIRECT("'Data 18'!BM"&amp;IF('Plot Layout'!S10="",2,'Plot Layout'!S10+1))</f>
        <v>0</v>
      </c>
      <c r="BN19">
        <f ca="1">INDIRECT("'Data 18'!BN"&amp;IF('Plot Layout'!S10="",2,'Plot Layout'!S10+1))</f>
        <v>0</v>
      </c>
      <c r="BO19">
        <f ca="1">INDIRECT("'Data 18'!BO"&amp;IF('Plot Layout'!S10="",2,'Plot Layout'!S10+1))</f>
        <v>0</v>
      </c>
      <c r="BP19">
        <f ca="1">INDIRECT("'Data 18'!BP"&amp;IF('Plot Layout'!S10="",2,'Plot Layout'!S10+1))</f>
        <v>0</v>
      </c>
      <c r="BQ19">
        <f ca="1">INDIRECT("'Data 18'!BQ"&amp;IF('Plot Layout'!S10="",2,'Plot Layout'!S10+1))</f>
        <v>0</v>
      </c>
      <c r="BR19">
        <f ca="1">INDIRECT("'Data 18'!BR"&amp;IF('Plot Layout'!S10="",2,'Plot Layout'!S10+1))</f>
        <v>0</v>
      </c>
      <c r="BS19">
        <f ca="1">INDIRECT("'Data 18'!BS"&amp;IF('Plot Layout'!S10="",2,'Plot Layout'!S10+1))</f>
        <v>0</v>
      </c>
      <c r="BT19">
        <f ca="1">INDIRECT("'Data 18'!BT"&amp;IF('Plot Layout'!S10="",2,'Plot Layout'!S10+1))</f>
        <v>0</v>
      </c>
      <c r="BU19">
        <f ca="1">INDIRECT("'Data 18'!BU"&amp;IF('Plot Layout'!S10="",2,'Plot Layout'!S10+1))</f>
        <v>0</v>
      </c>
      <c r="BV19">
        <f ca="1">INDIRECT("'Data 18'!BV"&amp;IF('Plot Layout'!S10="",2,'Plot Layout'!S10+1))</f>
        <v>0</v>
      </c>
      <c r="BW19">
        <f ca="1">INDIRECT("'Data 18'!BW"&amp;IF('Plot Layout'!S10="",2,'Plot Layout'!S10+1))</f>
        <v>0</v>
      </c>
      <c r="BX19">
        <f ca="1">INDIRECT("'Data 18'!BX"&amp;IF('Plot Layout'!S10="",2,'Plot Layout'!S10+1))</f>
        <v>0</v>
      </c>
      <c r="BY19">
        <f ca="1">INDIRECT("'Data 18'!BY"&amp;IF('Plot Layout'!S10="",2,'Plot Layout'!S10+1))</f>
        <v>0</v>
      </c>
      <c r="BZ19">
        <f ca="1">INDIRECT("'Data 18'!BZ"&amp;IF('Plot Layout'!S10="",2,'Plot Layout'!S10+1))</f>
        <v>0</v>
      </c>
      <c r="CA19">
        <f ca="1">INDIRECT("'Data 18'!CA"&amp;IF('Plot Layout'!S10="",2,'Plot Layout'!S10+1))</f>
        <v>0</v>
      </c>
      <c r="CB19">
        <f ca="1">INDIRECT("'Data 18'!CB"&amp;IF('Plot Layout'!S10="",2,'Plot Layout'!S10+1))</f>
        <v>0</v>
      </c>
      <c r="CC19">
        <f ca="1">INDIRECT("'Data 18'!CC"&amp;IF('Plot Layout'!S10="",2,'Plot Layout'!S10+1))</f>
        <v>0</v>
      </c>
      <c r="CD19">
        <f ca="1">INDIRECT("'Data 18'!CD"&amp;IF('Plot Layout'!S10="",2,'Plot Layout'!S10+1))</f>
        <v>0</v>
      </c>
      <c r="CE19">
        <f ca="1">INDIRECT("'Data 18'!CE"&amp;IF('Plot Layout'!S10="",2,'Plot Layout'!S10+1))</f>
        <v>0</v>
      </c>
      <c r="CF19">
        <f ca="1">INDIRECT("'Data 18'!CF"&amp;IF('Plot Layout'!S10="",2,'Plot Layout'!S10+1))</f>
        <v>0</v>
      </c>
      <c r="CG19">
        <f ca="1">INDIRECT("'Data 18'!CG"&amp;IF('Plot Layout'!S10="",2,'Plot Layout'!S10+1))</f>
        <v>0</v>
      </c>
      <c r="CH19">
        <f ca="1">INDIRECT("'Data 18'!CH"&amp;IF('Plot Layout'!S10="",2,'Plot Layout'!S10+1))</f>
        <v>0</v>
      </c>
      <c r="CI19">
        <f ca="1">INDIRECT("'Data 18'!CI"&amp;IF('Plot Layout'!S10="",2,'Plot Layout'!S10+1))</f>
        <v>0</v>
      </c>
      <c r="CJ19">
        <f ca="1">INDIRECT("'Data 18'!CJ"&amp;IF('Plot Layout'!S10="",2,'Plot Layout'!S10+1))</f>
        <v>0</v>
      </c>
      <c r="CK19">
        <f ca="1">INDIRECT("'Data 18'!CK"&amp;IF('Plot Layout'!S10="",2,'Plot Layout'!S10+1))</f>
        <v>0</v>
      </c>
      <c r="CL19">
        <f ca="1">INDIRECT("'Data 18'!CL"&amp;IF('Plot Layout'!S10="",2,'Plot Layout'!S10+1))</f>
        <v>0</v>
      </c>
      <c r="CM19">
        <f ca="1">INDIRECT("'Data 18'!CM"&amp;IF('Plot Layout'!S10="",2,'Plot Layout'!S10+1))</f>
        <v>0</v>
      </c>
      <c r="CN19">
        <f ca="1">INDIRECT("'Data 18'!CN"&amp;IF('Plot Layout'!S10="",2,'Plot Layout'!S10+1))</f>
        <v>0</v>
      </c>
      <c r="CO19">
        <f ca="1">INDIRECT("'Data 18'!CO"&amp;IF('Plot Layout'!S10="",2,'Plot Layout'!S10+1))</f>
        <v>0</v>
      </c>
      <c r="CP19">
        <f ca="1">INDIRECT("'Data 18'!CP"&amp;IF('Plot Layout'!S10="",2,'Plot Layout'!S10+1))</f>
        <v>0</v>
      </c>
      <c r="CQ19">
        <f ca="1">INDIRECT("'Data 18'!CQ"&amp;IF('Plot Layout'!S10="",2,'Plot Layout'!S10+1))</f>
        <v>0</v>
      </c>
      <c r="CR19">
        <f ca="1">INDIRECT("'Data 18'!CR"&amp;IF('Plot Layout'!S10="",2,'Plot Layout'!S10+1))</f>
        <v>0</v>
      </c>
      <c r="CS19">
        <f ca="1">INDIRECT("'Data 18'!CS"&amp;IF('Plot Layout'!S10="",2,'Plot Layout'!S10+1))</f>
        <v>0</v>
      </c>
      <c r="CT19">
        <f ca="1">INDIRECT("'Data 18'!CT"&amp;IF('Plot Layout'!S10="",2,'Plot Layout'!S10+1))</f>
        <v>0</v>
      </c>
      <c r="CU19">
        <f ca="1">INDIRECT("'Data 18'!CU"&amp;IF('Plot Layout'!S10="",2,'Plot Layout'!S10+1))</f>
        <v>0</v>
      </c>
      <c r="CV19">
        <f ca="1">INDIRECT("'Data 18'!CV"&amp;IF('Plot Layout'!S10="",2,'Plot Layout'!S10+1))</f>
        <v>0</v>
      </c>
      <c r="CW19">
        <f ca="1">INDIRECT("'Data 18'!CW"&amp;IF('Plot Layout'!S10="",2,'Plot Layout'!S10+1))</f>
        <v>0</v>
      </c>
      <c r="CX19">
        <f ca="1">INDIRECT("'Data 18'!CX"&amp;IF('Plot Layout'!S10="",2,'Plot Layout'!S10+1))</f>
        <v>0</v>
      </c>
      <c r="CY19">
        <f ca="1">INDIRECT("'Data 18'!CY"&amp;IF('Plot Layout'!S10="",2,'Plot Layout'!S10+1))</f>
        <v>0</v>
      </c>
      <c r="CZ19">
        <f ca="1">INDIRECT("'Data 18'!CZ"&amp;IF('Plot Layout'!S10="",2,'Plot Layout'!S10+1))</f>
        <v>0</v>
      </c>
      <c r="DA19">
        <f ca="1">INDIRECT("'Data 18'!DA"&amp;IF('Plot Layout'!S10="",2,'Plot Layout'!S10+1))</f>
        <v>0</v>
      </c>
      <c r="DB19">
        <f ca="1">INDIRECT("'Data 18'!DB"&amp;IF('Plot Layout'!S10="",2,'Plot Layout'!S10+1))</f>
        <v>0</v>
      </c>
      <c r="DC19">
        <f ca="1">INDIRECT("'Data 18'!DC"&amp;IF('Plot Layout'!S10="",2,'Plot Layout'!S10+1))</f>
        <v>0</v>
      </c>
      <c r="DD19">
        <f ca="1">INDIRECT("'Data 18'!DD"&amp;IF('Plot Layout'!S10="",2,'Plot Layout'!S10+1))</f>
        <v>0</v>
      </c>
      <c r="DE19">
        <f ca="1">INDIRECT("'Data 18'!DE"&amp;IF('Plot Layout'!S10="",2,'Plot Layout'!S10+1))</f>
        <v>0</v>
      </c>
      <c r="DF19">
        <f ca="1">INDIRECT("'Data 18'!DF"&amp;IF('Plot Layout'!S10="",2,'Plot Layout'!S10+1))</f>
        <v>0</v>
      </c>
      <c r="DG19">
        <f ca="1">INDIRECT("'Data 18'!DG"&amp;IF('Plot Layout'!S10="",2,'Plot Layout'!S10+1))</f>
        <v>0</v>
      </c>
      <c r="DH19">
        <f ca="1">INDIRECT("'Data 18'!DH"&amp;IF('Plot Layout'!S10="",2,'Plot Layout'!S10+1))</f>
        <v>0</v>
      </c>
      <c r="DI19">
        <f ca="1">INDIRECT("'Data 18'!DI"&amp;IF('Plot Layout'!S10="",2,'Plot Layout'!S10+1))</f>
        <v>0</v>
      </c>
      <c r="DJ19">
        <f ca="1">INDIRECT("'Data 18'!DJ"&amp;IF('Plot Layout'!S10="",2,'Plot Layout'!S10+1))</f>
        <v>0</v>
      </c>
      <c r="DK19">
        <f ca="1">INDIRECT("'Data 18'!DK"&amp;IF('Plot Layout'!S10="",2,'Plot Layout'!S10+1))</f>
        <v>0</v>
      </c>
      <c r="DL19">
        <f ca="1">INDIRECT("'Data 18'!DL"&amp;IF('Plot Layout'!S10="",2,'Plot Layout'!S10+1))</f>
        <v>0</v>
      </c>
      <c r="DM19">
        <f ca="1">INDIRECT("'Data 18'!DM"&amp;IF('Plot Layout'!S10="",2,'Plot Layout'!S10+1))</f>
        <v>0</v>
      </c>
      <c r="DN19">
        <f ca="1">INDIRECT("'Data 18'!DN"&amp;IF('Plot Layout'!S10="",2,'Plot Layout'!S10+1))</f>
        <v>0</v>
      </c>
      <c r="DO19">
        <f ca="1">INDIRECT("'Data 18'!DO"&amp;IF('Plot Layout'!S10="",2,'Plot Layout'!S10+1))</f>
        <v>0</v>
      </c>
      <c r="DP19">
        <f ca="1">INDIRECT("'Data 18'!DP"&amp;IF('Plot Layout'!S10="",2,'Plot Layout'!S10+1))</f>
        <v>0</v>
      </c>
      <c r="DQ19">
        <f ca="1">INDIRECT("'Data 18'!DQ"&amp;IF('Plot Layout'!S10="",2,'Plot Layout'!S10+1))</f>
        <v>0</v>
      </c>
      <c r="DR19">
        <f ca="1">INDIRECT("'Data 18'!DR"&amp;IF('Plot Layout'!S10="",2,'Plot Layout'!S10+1))</f>
        <v>0</v>
      </c>
      <c r="DS19">
        <f ca="1">INDIRECT("'Data 18'!DS"&amp;IF('Plot Layout'!S10="",2,'Plot Layout'!S10+1))</f>
        <v>0</v>
      </c>
      <c r="DT19">
        <f ca="1">INDIRECT("'Data 18'!DT"&amp;IF('Plot Layout'!S10="",2,'Plot Layout'!S10+1))</f>
        <v>0</v>
      </c>
      <c r="DU19">
        <f ca="1">INDIRECT("'Data 18'!DU"&amp;IF('Plot Layout'!S10="",2,'Plot Layout'!S10+1))</f>
        <v>0</v>
      </c>
      <c r="DV19">
        <f ca="1">INDIRECT("'Data 18'!DV"&amp;IF('Plot Layout'!S10="",2,'Plot Layout'!S10+1))</f>
        <v>0</v>
      </c>
      <c r="DW19">
        <f ca="1">INDIRECT("'Data 18'!DW"&amp;IF('Plot Layout'!S10="",2,'Plot Layout'!S10+1))</f>
        <v>0</v>
      </c>
      <c r="DX19">
        <f ca="1">INDIRECT("'Data 18'!DX"&amp;IF('Plot Layout'!S10="",2,'Plot Layout'!S10+1))</f>
        <v>0</v>
      </c>
      <c r="DY19">
        <f ca="1">INDIRECT("'Data 18'!DY"&amp;IF('Plot Layout'!S10="",2,'Plot Layout'!S10+1))</f>
        <v>0</v>
      </c>
      <c r="DZ19">
        <f ca="1">INDIRECT("'Data 18'!DZ"&amp;IF('Plot Layout'!S10="",2,'Plot Layout'!S10+1))</f>
        <v>0</v>
      </c>
      <c r="EA19">
        <f ca="1">INDIRECT("'Data 18'!EA"&amp;IF('Plot Layout'!S10="",2,'Plot Layout'!S10+1))</f>
        <v>0</v>
      </c>
      <c r="EB19">
        <f ca="1">INDIRECT("'Data 18'!EB"&amp;IF('Plot Layout'!S10="",2,'Plot Layout'!S10+1))</f>
        <v>0</v>
      </c>
      <c r="EC19">
        <f ca="1">INDIRECT("'Data 18'!EC"&amp;IF('Plot Layout'!S10="",2,'Plot Layout'!S10+1))</f>
        <v>0</v>
      </c>
      <c r="ED19">
        <f ca="1">INDIRECT("'Data 18'!ED"&amp;IF('Plot Layout'!S10="",2,'Plot Layout'!S10+1))</f>
        <v>0</v>
      </c>
      <c r="EE19">
        <f ca="1">INDIRECT("'Data 18'!EE"&amp;IF('Plot Layout'!S10="",2,'Plot Layout'!S10+1))</f>
        <v>0</v>
      </c>
      <c r="EF19">
        <f ca="1">INDIRECT("'Data 18'!EF"&amp;IF('Plot Layout'!S10="",2,'Plot Layout'!S10+1))</f>
        <v>0</v>
      </c>
      <c r="EG19">
        <f ca="1">INDIRECT("'Data 18'!EG"&amp;IF('Plot Layout'!S10="",2,'Plot Layout'!S10+1))</f>
        <v>0</v>
      </c>
      <c r="EH19">
        <f ca="1">INDIRECT("'Data 18'!EH"&amp;IF('Plot Layout'!S10="",2,'Plot Layout'!S10+1))</f>
        <v>0</v>
      </c>
      <c r="EI19">
        <f ca="1">INDIRECT("'Data 18'!EI"&amp;IF('Plot Layout'!S10="",2,'Plot Layout'!S10+1))</f>
        <v>0</v>
      </c>
      <c r="EJ19">
        <f ca="1">INDIRECT("'Data 18'!EJ"&amp;IF('Plot Layout'!S10="",2,'Plot Layout'!S10+1))</f>
        <v>0</v>
      </c>
      <c r="EK19">
        <f ca="1">INDIRECT("'Data 18'!EK"&amp;IF('Plot Layout'!S10="",2,'Plot Layout'!S10+1))</f>
        <v>0</v>
      </c>
      <c r="EL19">
        <f ca="1">INDIRECT("'Data 18'!EL"&amp;IF('Plot Layout'!S10="",2,'Plot Layout'!S10+1))</f>
        <v>0</v>
      </c>
      <c r="EM19">
        <f ca="1">INDIRECT("'Data 18'!EM"&amp;IF('Plot Layout'!S10="",2,'Plot Layout'!S10+1))</f>
        <v>0</v>
      </c>
      <c r="EN19">
        <f ca="1">INDIRECT("'Data 18'!EN"&amp;IF('Plot Layout'!S10="",2,'Plot Layout'!S10+1))</f>
        <v>0</v>
      </c>
      <c r="EO19">
        <f ca="1">INDIRECT("'Data 18'!EO"&amp;IF('Plot Layout'!S10="",2,'Plot Layout'!S10+1))</f>
        <v>0</v>
      </c>
      <c r="EP19">
        <f ca="1">INDIRECT("'Data 18'!EP"&amp;IF('Plot Layout'!S10="",2,'Plot Layout'!S10+1))</f>
        <v>0</v>
      </c>
      <c r="EQ19">
        <f ca="1">INDIRECT("'Data 18'!EQ"&amp;IF('Plot Layout'!S10="",2,'Plot Layout'!S10+1))</f>
        <v>0</v>
      </c>
      <c r="ER19">
        <f ca="1">INDIRECT("'Data 18'!ER"&amp;IF('Plot Layout'!S10="",2,'Plot Layout'!S10+1))</f>
        <v>0</v>
      </c>
      <c r="ES19">
        <f ca="1">INDIRECT("'Data 18'!ES"&amp;IF('Plot Layout'!S10="",2,'Plot Layout'!S10+1))</f>
        <v>0</v>
      </c>
      <c r="ET19">
        <f ca="1">INDIRECT("'Data 18'!ET"&amp;IF('Plot Layout'!S10="",2,'Plot Layout'!S10+1))</f>
        <v>0</v>
      </c>
      <c r="EU19">
        <f ca="1">INDIRECT("'Data 18'!EU"&amp;IF('Plot Layout'!S10="",2,'Plot Layout'!S10+1))</f>
        <v>0</v>
      </c>
      <c r="EV19">
        <f ca="1">INDIRECT("'Data 18'!EV"&amp;IF('Plot Layout'!S10="",2,'Plot Layout'!S10+1))</f>
        <v>0</v>
      </c>
      <c r="EW19">
        <f ca="1">INDIRECT("'Data 18'!EW"&amp;IF('Plot Layout'!S10="",2,'Plot Layout'!S10+1))</f>
        <v>0</v>
      </c>
      <c r="EX19">
        <f ca="1">INDIRECT("'Data 18'!EX"&amp;IF('Plot Layout'!S10="",2,'Plot Layout'!S10+1))</f>
        <v>0</v>
      </c>
      <c r="EY19">
        <f ca="1">INDIRECT("'Data 18'!EY"&amp;IF('Plot Layout'!S10="",2,'Plot Layout'!S10+1))</f>
        <v>0</v>
      </c>
      <c r="EZ19">
        <f ca="1">INDIRECT("'Data 18'!EZ"&amp;IF('Plot Layout'!S10="",2,'Plot Layout'!S10+1))</f>
        <v>0</v>
      </c>
      <c r="FA19">
        <f ca="1">INDIRECT("'Data 18'!FA"&amp;IF('Plot Layout'!S10="",2,'Plot Layout'!S10+1))</f>
        <v>0</v>
      </c>
      <c r="FB19">
        <f ca="1">INDIRECT("'Data 18'!FB"&amp;IF('Plot Layout'!S10="",2,'Plot Layout'!S10+1))</f>
        <v>0</v>
      </c>
      <c r="FC19">
        <f ca="1">INDIRECT("'Data 18'!FC"&amp;IF('Plot Layout'!S10="",2,'Plot Layout'!S10+1))</f>
        <v>0</v>
      </c>
      <c r="FD19">
        <f ca="1">INDIRECT("'Data 18'!FD"&amp;IF('Plot Layout'!S10="",2,'Plot Layout'!S10+1))</f>
        <v>0</v>
      </c>
      <c r="FE19">
        <f ca="1">INDIRECT("'Data 18'!FE"&amp;IF('Plot Layout'!S10="",2,'Plot Layout'!S10+1))</f>
        <v>0</v>
      </c>
      <c r="FF19">
        <f ca="1">INDIRECT("'Data 18'!FF"&amp;IF('Plot Layout'!S10="",2,'Plot Layout'!S10+1))</f>
        <v>0</v>
      </c>
      <c r="FG19">
        <f ca="1">INDIRECT("'Data 18'!FG"&amp;IF('Plot Layout'!S10="",2,'Plot Layout'!S10+1))</f>
        <v>0</v>
      </c>
      <c r="FH19">
        <f ca="1">INDIRECT("'Data 18'!FH"&amp;IF('Plot Layout'!S10="",2,'Plot Layout'!S10+1))</f>
        <v>0</v>
      </c>
      <c r="FI19">
        <f ca="1">INDIRECT("'Data 18'!FI"&amp;IF('Plot Layout'!S10="",2,'Plot Layout'!S10+1))</f>
        <v>0</v>
      </c>
      <c r="FJ19">
        <f ca="1">INDIRECT("'Data 18'!FJ"&amp;IF('Plot Layout'!S10="",2,'Plot Layout'!S10+1))</f>
        <v>0</v>
      </c>
      <c r="FK19">
        <f ca="1">INDIRECT("'Data 18'!FK"&amp;IF('Plot Layout'!S10="",2,'Plot Layout'!S10+1))</f>
        <v>0</v>
      </c>
      <c r="FL19">
        <f ca="1">INDIRECT("'Data 18'!FL"&amp;IF('Plot Layout'!S10="",2,'Plot Layout'!S10+1))</f>
        <v>0</v>
      </c>
      <c r="FM19">
        <f ca="1">INDIRECT("'Data 18'!FM"&amp;IF('Plot Layout'!S10="",2,'Plot Layout'!S10+1))</f>
        <v>0</v>
      </c>
      <c r="FN19">
        <f ca="1">INDIRECT("'Data 18'!FN"&amp;IF('Plot Layout'!S10="",2,'Plot Layout'!S10+1))</f>
        <v>0</v>
      </c>
      <c r="FO19">
        <f ca="1">INDIRECT("'Data 18'!FO"&amp;IF('Plot Layout'!S10="",2,'Plot Layout'!S10+1))</f>
        <v>0</v>
      </c>
      <c r="FP19">
        <f ca="1">INDIRECT("'Data 18'!FP"&amp;IF('Plot Layout'!S10="",2,'Plot Layout'!S10+1))</f>
        <v>0</v>
      </c>
      <c r="FQ19">
        <f ca="1">INDIRECT("'Data 18'!FQ"&amp;IF('Plot Layout'!S10="",2,'Plot Layout'!S10+1))</f>
        <v>0</v>
      </c>
      <c r="FR19">
        <f ca="1">INDIRECT("'Data 18'!FR"&amp;IF('Plot Layout'!S10="",2,'Plot Layout'!S10+1))</f>
        <v>0</v>
      </c>
      <c r="FS19">
        <f ca="1">INDIRECT("'Data 18'!FS"&amp;IF('Plot Layout'!S10="",2,'Plot Layout'!S10+1))</f>
        <v>0</v>
      </c>
      <c r="FT19">
        <f ca="1">INDIRECT("'Data 18'!FT"&amp;IF('Plot Layout'!S10="",2,'Plot Layout'!S10+1))</f>
        <v>0</v>
      </c>
      <c r="FU19">
        <f ca="1">INDIRECT("'Data 18'!FU"&amp;IF('Plot Layout'!S10="",2,'Plot Layout'!S10+1))</f>
        <v>0</v>
      </c>
      <c r="FV19">
        <f ca="1">INDIRECT("'Data 18'!FV"&amp;IF('Plot Layout'!S10="",2,'Plot Layout'!S10+1))</f>
        <v>0</v>
      </c>
      <c r="FW19">
        <f ca="1">INDIRECT("'Data 18'!FW"&amp;IF('Plot Layout'!S10="",2,'Plot Layout'!S10+1))</f>
        <v>0</v>
      </c>
      <c r="FX19">
        <f ca="1">INDIRECT("'Data 18'!FX"&amp;IF('Plot Layout'!S10="",2,'Plot Layout'!S10+1))</f>
        <v>0</v>
      </c>
      <c r="FY19">
        <f ca="1">INDIRECT("'Data 18'!FY"&amp;IF('Plot Layout'!S10="",2,'Plot Layout'!S10+1))</f>
        <v>0</v>
      </c>
      <c r="FZ19">
        <f ca="1">INDIRECT("'Data 18'!FZ"&amp;IF('Plot Layout'!S10="",2,'Plot Layout'!S10+1))</f>
        <v>0</v>
      </c>
      <c r="GA19">
        <f ca="1">INDIRECT("'Data 18'!GA"&amp;IF('Plot Layout'!S10="",2,'Plot Layout'!S10+1))</f>
        <v>0</v>
      </c>
      <c r="GB19">
        <f ca="1">INDIRECT("'Data 18'!GB"&amp;IF('Plot Layout'!S10="",2,'Plot Layout'!S10+1))</f>
        <v>0</v>
      </c>
      <c r="GC19">
        <f ca="1">INDIRECT("'Data 18'!GC"&amp;IF('Plot Layout'!S10="",2,'Plot Layout'!S10+1))</f>
        <v>0</v>
      </c>
      <c r="GD19">
        <f ca="1">INDIRECT("'Data 18'!GD"&amp;IF('Plot Layout'!S10="",2,'Plot Layout'!S10+1))</f>
        <v>0</v>
      </c>
      <c r="GE19">
        <f ca="1">INDIRECT("'Data 18'!GE"&amp;IF('Plot Layout'!S10="",2,'Plot Layout'!S10+1))</f>
        <v>0</v>
      </c>
      <c r="GF19">
        <f ca="1">INDIRECT("'Data 18'!GF"&amp;IF('Plot Layout'!S10="",2,'Plot Layout'!S10+1))</f>
        <v>0</v>
      </c>
      <c r="GG19">
        <f ca="1">INDIRECT("'Data 18'!GG"&amp;IF('Plot Layout'!S10="",2,'Plot Layout'!S10+1))</f>
        <v>0</v>
      </c>
      <c r="GH19">
        <f ca="1">INDIRECT("'Data 18'!GH"&amp;IF('Plot Layout'!S10="",2,'Plot Layout'!S10+1))</f>
        <v>0</v>
      </c>
      <c r="GI19">
        <f ca="1">INDIRECT("'Data 18'!GI"&amp;IF('Plot Layout'!S10="",2,'Plot Layout'!S10+1))</f>
        <v>0</v>
      </c>
      <c r="GJ19">
        <f ca="1">INDIRECT("'Data 18'!GJ"&amp;IF('Plot Layout'!S10="",2,'Plot Layout'!S10+1))</f>
        <v>0</v>
      </c>
      <c r="GK19">
        <f ca="1">INDIRECT("'Data 18'!GK"&amp;IF('Plot Layout'!S10="",2,'Plot Layout'!S10+1))</f>
        <v>0</v>
      </c>
      <c r="GL19">
        <f ca="1">INDIRECT("'Data 18'!GL"&amp;IF('Plot Layout'!S10="",2,'Plot Layout'!S10+1))</f>
        <v>0</v>
      </c>
      <c r="GM19">
        <f ca="1">INDIRECT("'Data 18'!GM"&amp;IF('Plot Layout'!S10="",2,'Plot Layout'!S10+1))</f>
        <v>0</v>
      </c>
      <c r="GN19">
        <f ca="1">INDIRECT("'Data 18'!GN"&amp;IF('Plot Layout'!S10="",2,'Plot Layout'!S10+1))</f>
        <v>0</v>
      </c>
      <c r="GO19">
        <f ca="1">INDIRECT("'Data 18'!GO"&amp;IF('Plot Layout'!S10="",2,'Plot Layout'!S10+1))</f>
        <v>0</v>
      </c>
      <c r="GP19">
        <f ca="1">INDIRECT("'Data 18'!GP"&amp;IF('Plot Layout'!S10="",2,'Plot Layout'!S10+1))</f>
        <v>0</v>
      </c>
      <c r="GQ19">
        <f ca="1">INDIRECT("'Data 18'!GQ"&amp;IF('Plot Layout'!S10="",2,'Plot Layout'!S10+1))</f>
        <v>0</v>
      </c>
      <c r="GR19">
        <f ca="1">INDIRECT("'Data 18'!GR"&amp;IF('Plot Layout'!S10="",2,'Plot Layout'!S10+1))</f>
        <v>0</v>
      </c>
      <c r="GS19">
        <f ca="1">INDIRECT("'Data 18'!GS"&amp;IF('Plot Layout'!S10="",2,'Plot Layout'!S10+1))</f>
        <v>0</v>
      </c>
      <c r="GT19">
        <f ca="1">INDIRECT("'Data 18'!GT"&amp;IF('Plot Layout'!S10="",2,'Plot Layout'!S10+1))</f>
        <v>0</v>
      </c>
      <c r="GU19">
        <f ca="1">INDIRECT("'Data 18'!GU"&amp;IF('Plot Layout'!S10="",2,'Plot Layout'!S10+1))</f>
        <v>0</v>
      </c>
      <c r="GV19">
        <f ca="1">INDIRECT("'Data 18'!GV"&amp;IF('Plot Layout'!S10="",2,'Plot Layout'!S10+1))</f>
        <v>0</v>
      </c>
      <c r="GW19">
        <f ca="1">INDIRECT("'Data 18'!GW"&amp;IF('Plot Layout'!S10="",2,'Plot Layout'!S10+1))</f>
        <v>0</v>
      </c>
      <c r="GX19">
        <f ca="1">INDIRECT("'Data 18'!GX"&amp;IF('Plot Layout'!S10="",2,'Plot Layout'!S10+1))</f>
        <v>0</v>
      </c>
      <c r="GY19">
        <f ca="1">INDIRECT("'Data 18'!GY"&amp;IF('Plot Layout'!S10="",2,'Plot Layout'!S10+1))</f>
        <v>0</v>
      </c>
      <c r="GZ19">
        <f ca="1">INDIRECT("'Data 18'!GZ"&amp;IF('Plot Layout'!S10="",2,'Plot Layout'!S10+1))</f>
        <v>0</v>
      </c>
      <c r="HA19">
        <f ca="1">INDIRECT("'Data 18'!HA"&amp;IF('Plot Layout'!S10="",2,'Plot Layout'!S10+1))</f>
        <v>0</v>
      </c>
      <c r="HB19">
        <f ca="1">INDIRECT("'Data 18'!HB"&amp;IF('Plot Layout'!S10="",2,'Plot Layout'!S10+1))</f>
        <v>0</v>
      </c>
      <c r="HC19">
        <f ca="1">INDIRECT("'Data 18'!HC"&amp;IF('Plot Layout'!S10="",2,'Plot Layout'!S10+1))</f>
        <v>0</v>
      </c>
      <c r="HD19">
        <f ca="1">INDIRECT("'Data 18'!HD"&amp;IF('Plot Layout'!S10="",2,'Plot Layout'!S10+1))</f>
        <v>0</v>
      </c>
      <c r="HE19">
        <f ca="1">INDIRECT("'Data 18'!HE"&amp;IF('Plot Layout'!S10="",2,'Plot Layout'!S10+1))</f>
        <v>0</v>
      </c>
      <c r="HF19">
        <f ca="1">INDIRECT("'Data 18'!HF"&amp;IF('Plot Layout'!S10="",2,'Plot Layout'!S10+1))</f>
        <v>0</v>
      </c>
      <c r="HG19">
        <f ca="1">INDIRECT("'Data 18'!HG"&amp;IF('Plot Layout'!S10="",2,'Plot Layout'!S10+1))</f>
        <v>0</v>
      </c>
      <c r="HH19">
        <f ca="1">INDIRECT("'Data 18'!HH"&amp;IF('Plot Layout'!S10="",2,'Plot Layout'!S10+1))</f>
        <v>0</v>
      </c>
      <c r="HI19">
        <f ca="1">INDIRECT("'Data 18'!HI"&amp;IF('Plot Layout'!S10="",2,'Plot Layout'!S10+1))</f>
        <v>0</v>
      </c>
      <c r="HJ19">
        <f ca="1">INDIRECT("'Data 18'!HJ"&amp;IF('Plot Layout'!S10="",2,'Plot Layout'!S10+1))</f>
        <v>0</v>
      </c>
      <c r="HK19">
        <f ca="1">INDIRECT("'Data 18'!HK"&amp;IF('Plot Layout'!S10="",2,'Plot Layout'!S10+1))</f>
        <v>0</v>
      </c>
      <c r="HL19">
        <f ca="1">INDIRECT("'Data 18'!HL"&amp;IF('Plot Layout'!S10="",2,'Plot Layout'!S10+1))</f>
        <v>0</v>
      </c>
      <c r="HM19">
        <f ca="1">INDIRECT("'Data 18'!HM"&amp;IF('Plot Layout'!S10="",2,'Plot Layout'!S10+1))</f>
        <v>0</v>
      </c>
      <c r="HN19">
        <f ca="1">INDIRECT("'Data 18'!HN"&amp;IF('Plot Layout'!S10="",2,'Plot Layout'!S10+1))</f>
        <v>0</v>
      </c>
      <c r="HO19">
        <f ca="1">INDIRECT("'Data 18'!HO"&amp;IF('Plot Layout'!S10="",2,'Plot Layout'!S10+1))</f>
        <v>0</v>
      </c>
      <c r="HP19">
        <f ca="1">INDIRECT("'Data 18'!HP"&amp;IF('Plot Layout'!S10="",2,'Plot Layout'!S10+1))</f>
        <v>0</v>
      </c>
      <c r="HQ19">
        <f ca="1">INDIRECT("'Data 18'!HQ"&amp;IF('Plot Layout'!S10="",2,'Plot Layout'!S10+1))</f>
        <v>0</v>
      </c>
      <c r="HR19">
        <f ca="1">INDIRECT("'Data 18'!HR"&amp;IF('Plot Layout'!S10="",2,'Plot Layout'!S10+1))</f>
        <v>0</v>
      </c>
      <c r="HS19">
        <f ca="1">INDIRECT("'Data 18'!HS"&amp;IF('Plot Layout'!S10="",2,'Plot Layout'!S10+1))</f>
        <v>0</v>
      </c>
      <c r="HT19">
        <f ca="1">INDIRECT("'Data 18'!HT"&amp;IF('Plot Layout'!S10="",2,'Plot Layout'!S10+1))</f>
        <v>0</v>
      </c>
      <c r="HU19">
        <f ca="1">INDIRECT("'Data 18'!HU"&amp;IF('Plot Layout'!S10="",2,'Plot Layout'!S10+1))</f>
        <v>0</v>
      </c>
      <c r="HV19">
        <f ca="1">INDIRECT("'Data 18'!HV"&amp;IF('Plot Layout'!S10="",2,'Plot Layout'!S10+1))</f>
        <v>0</v>
      </c>
      <c r="HW19">
        <f ca="1">INDIRECT("'Data 18'!HW"&amp;IF('Plot Layout'!S10="",2,'Plot Layout'!S10+1))</f>
        <v>0</v>
      </c>
      <c r="HX19">
        <f ca="1">INDIRECT("'Data 18'!HX"&amp;IF('Plot Layout'!S10="",2,'Plot Layout'!S10+1))</f>
        <v>0</v>
      </c>
      <c r="HY19">
        <f ca="1">INDIRECT("'Data 18'!HY"&amp;IF('Plot Layout'!S10="",2,'Plot Layout'!S10+1))</f>
        <v>0</v>
      </c>
      <c r="HZ19">
        <f ca="1">INDIRECT("'Data 18'!HZ"&amp;IF('Plot Layout'!S10="",2,'Plot Layout'!S10+1))</f>
        <v>0</v>
      </c>
      <c r="IA19">
        <f ca="1">INDIRECT("'Data 18'!IA"&amp;IF('Plot Layout'!S10="",2,'Plot Layout'!S10+1))</f>
        <v>0</v>
      </c>
      <c r="IB19">
        <f ca="1">INDIRECT("'Data 18'!IB"&amp;IF('Plot Layout'!S10="",2,'Plot Layout'!S10+1))</f>
        <v>0</v>
      </c>
      <c r="IC19">
        <f ca="1">INDIRECT("'Data 18'!IC"&amp;IF('Plot Layout'!S10="",2,'Plot Layout'!S10+1))</f>
        <v>0</v>
      </c>
      <c r="ID19">
        <f ca="1">INDIRECT("'Data 18'!ID"&amp;IF('Plot Layout'!S10="",2,'Plot Layout'!S10+1))</f>
        <v>0</v>
      </c>
      <c r="IE19">
        <f ca="1">INDIRECT("'Data 18'!IE"&amp;IF('Plot Layout'!S10="",2,'Plot Layout'!S10+1))</f>
        <v>0</v>
      </c>
      <c r="IF19">
        <f ca="1">INDIRECT("'Data 18'!IF"&amp;IF('Plot Layout'!S10="",2,'Plot Layout'!S10+1))</f>
        <v>0</v>
      </c>
      <c r="IG19">
        <f ca="1">INDIRECT("'Data 18'!IG"&amp;IF('Plot Layout'!S10="",2,'Plot Layout'!S10+1))</f>
        <v>0</v>
      </c>
      <c r="IH19">
        <f ca="1">INDIRECT("'Data 18'!IH"&amp;IF('Plot Layout'!S10="",2,'Plot Layout'!S10+1))</f>
        <v>0</v>
      </c>
      <c r="II19">
        <f ca="1">INDIRECT("'Data 18'!II"&amp;IF('Plot Layout'!S10="",2,'Plot Layout'!S10+1))</f>
        <v>0</v>
      </c>
      <c r="IJ19">
        <f ca="1">INDIRECT("'Data 18'!IJ"&amp;IF('Plot Layout'!S10="",2,'Plot Layout'!S10+1))</f>
        <v>0</v>
      </c>
      <c r="IK19">
        <f ca="1">INDIRECT("'Data 18'!IK"&amp;IF('Plot Layout'!S10="",2,'Plot Layout'!S10+1))</f>
        <v>0</v>
      </c>
      <c r="IL19">
        <f ca="1">INDIRECT("'Data 18'!IL"&amp;IF('Plot Layout'!S10="",2,'Plot Layout'!S10+1))</f>
        <v>0</v>
      </c>
      <c r="IM19">
        <f ca="1">INDIRECT("'Data 18'!IM"&amp;IF('Plot Layout'!S10="",2,'Plot Layout'!S10+1))</f>
        <v>0</v>
      </c>
      <c r="IN19">
        <f ca="1">INDIRECT("'Data 18'!IN"&amp;IF('Plot Layout'!S10="",2,'Plot Layout'!S10+1))</f>
        <v>0</v>
      </c>
      <c r="IO19">
        <f ca="1">INDIRECT("'Data 18'!IO"&amp;IF('Plot Layout'!S10="",2,'Plot Layout'!S10+1))</f>
        <v>0</v>
      </c>
      <c r="IP19">
        <f ca="1">INDIRECT("'Data 18'!IP"&amp;IF('Plot Layout'!S10="",2,'Plot Layout'!S10+1))</f>
        <v>0</v>
      </c>
      <c r="IQ19">
        <f ca="1">INDIRECT("'Data 18'!IQ"&amp;IF('Plot Layout'!S10="",2,'Plot Layout'!S10+1))</f>
        <v>0</v>
      </c>
      <c r="IR19">
        <f ca="1">INDIRECT("'Data 18'!IR"&amp;IF('Plot Layout'!S10="",2,'Plot Layout'!S10+1))</f>
        <v>0</v>
      </c>
      <c r="IS19">
        <f ca="1">INDIRECT("'Data 18'!IS"&amp;IF('Plot Layout'!S10="",2,'Plot Layout'!S10+1))</f>
        <v>0</v>
      </c>
      <c r="IT19">
        <f ca="1">INDIRECT("'Data 18'!IT"&amp;IF('Plot Layout'!S10="",2,'Plot Layout'!S10+1))</f>
        <v>0</v>
      </c>
      <c r="IU19">
        <f ca="1">INDIRECT("'Data 18'!IU"&amp;IF('Plot Layout'!S10="",2,'Plot Layout'!S10+1))</f>
        <v>0</v>
      </c>
      <c r="IV19">
        <f ca="1">INDIRECT("'Data 18'!IV"&amp;IF('Plot Layout'!S10="",2,'Plot Layout'!S10+1))</f>
        <v>0</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F73" sqref="F73"/>
    </sheetView>
  </sheetViews>
  <sheetFormatPr defaultColWidth="8.85546875"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59</vt:i4>
      </vt:variant>
    </vt:vector>
  </HeadingPairs>
  <TitlesOfParts>
    <vt:vector size="59"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Cross Plot</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2013-07-01T17:08:03Z</dcterms:modified>
</cp:coreProperties>
</file>